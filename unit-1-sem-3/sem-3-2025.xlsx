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git\HDip\Jan25\sem-3-calendar\unit-1-sem-3\"/>
    </mc:Choice>
  </mc:AlternateContent>
  <xr:revisionPtr revIDLastSave="0" documentId="13_ncr:1_{A362B85B-6E76-440A-AC37-A83D4BC2BDAF}" xr6:coauthVersionLast="47" xr6:coauthVersionMax="47" xr10:uidLastSave="{00000000-0000-0000-0000-000000000000}"/>
  <bookViews>
    <workbookView xWindow="-120" yWindow="-120" windowWidth="29040" windowHeight="15720" activeTab="3" xr2:uid="{00000000-000D-0000-FFFF-FFFF00000000}"/>
  </bookViews>
  <sheets>
    <sheet name="Export Summary" sheetId="1" r:id="rId1"/>
    <sheet name="calendar-1" sheetId="2" r:id="rId2"/>
    <sheet name="assessment - Table 1-1" sheetId="3" r:id="rId3"/>
    <sheet name="timetable"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6" i="2" l="1"/>
  <c r="E26" i="2"/>
  <c r="F26" i="2"/>
  <c r="G26" i="2"/>
  <c r="H26" i="2"/>
  <c r="I26" i="2"/>
  <c r="C26" i="2"/>
  <c r="D25" i="2"/>
  <c r="E25" i="2"/>
  <c r="F25" i="2"/>
  <c r="G25" i="2"/>
  <c r="H25" i="2"/>
  <c r="I25" i="2"/>
  <c r="E23" i="2"/>
  <c r="F23" i="2" s="1"/>
  <c r="G23" i="2" s="1"/>
  <c r="H23" i="2" s="1"/>
  <c r="I23" i="2" s="1"/>
  <c r="C24" i="2" s="1"/>
  <c r="C19" i="2"/>
  <c r="C20" i="2" s="1"/>
  <c r="C21" i="2" s="1"/>
  <c r="C22" i="2" s="1"/>
  <c r="G14" i="2"/>
  <c r="H14" i="2" s="1"/>
  <c r="I14" i="2" s="1"/>
  <c r="C15" i="2" s="1"/>
  <c r="C11" i="2"/>
  <c r="C12" i="2" s="1"/>
  <c r="C13" i="2" s="1"/>
  <c r="C14" i="2" s="1"/>
  <c r="D10" i="2"/>
  <c r="E10" i="2" s="1"/>
  <c r="E6" i="2"/>
  <c r="F6" i="2"/>
  <c r="G6" i="2" s="1"/>
  <c r="H6" i="2" s="1"/>
  <c r="I6" i="2" s="1"/>
  <c r="C7" i="2" s="1"/>
  <c r="D6" i="2"/>
  <c r="D5" i="2"/>
  <c r="C5" i="2"/>
  <c r="E4" i="2"/>
  <c r="E5" i="2" s="1"/>
  <c r="F10" i="2" l="1"/>
  <c r="E11" i="2"/>
  <c r="E12" i="2" s="1"/>
  <c r="E13" i="2" s="1"/>
  <c r="E14" i="2" s="1"/>
  <c r="C25" i="2"/>
  <c r="D24" i="2"/>
  <c r="E24" i="2" s="1"/>
  <c r="F24" i="2" s="1"/>
  <c r="G24" i="2" s="1"/>
  <c r="H24" i="2" s="1"/>
  <c r="I24" i="2" s="1"/>
  <c r="D11" i="2"/>
  <c r="D12" i="2" s="1"/>
  <c r="D13" i="2" s="1"/>
  <c r="D14" i="2" s="1"/>
  <c r="D19" i="2"/>
  <c r="F4" i="2"/>
  <c r="C8" i="2"/>
  <c r="C9" i="2" s="1"/>
  <c r="D7" i="2"/>
  <c r="C16" i="2"/>
  <c r="C17" i="2" s="1"/>
  <c r="C18" i="2" s="1"/>
  <c r="D15" i="2"/>
  <c r="G4" i="2" l="1"/>
  <c r="F5" i="2"/>
  <c r="E19" i="2"/>
  <c r="D20" i="2"/>
  <c r="D21" i="2" s="1"/>
  <c r="D22" i="2" s="1"/>
  <c r="G10" i="2"/>
  <c r="F11" i="2"/>
  <c r="F12" i="2" s="1"/>
  <c r="F13" i="2" s="1"/>
  <c r="D16" i="2"/>
  <c r="D17" i="2" s="1"/>
  <c r="D18" i="2" s="1"/>
  <c r="E15" i="2"/>
  <c r="D8" i="2"/>
  <c r="D9" i="2" s="1"/>
  <c r="E7" i="2"/>
  <c r="H10" i="2" l="1"/>
  <c r="G11" i="2"/>
  <c r="G12" i="2" s="1"/>
  <c r="G13" i="2" s="1"/>
  <c r="F19" i="2"/>
  <c r="E20" i="2"/>
  <c r="E21" i="2" s="1"/>
  <c r="E22" i="2" s="1"/>
  <c r="G5" i="2"/>
  <c r="H4" i="2"/>
  <c r="E8" i="2"/>
  <c r="E9" i="2" s="1"/>
  <c r="F7" i="2"/>
  <c r="F15" i="2"/>
  <c r="E16" i="2"/>
  <c r="E17" i="2" s="1"/>
  <c r="E18" i="2" s="1"/>
  <c r="H5" i="2" l="1"/>
  <c r="I4" i="2"/>
  <c r="I5" i="2" s="1"/>
  <c r="G19" i="2"/>
  <c r="F20" i="2"/>
  <c r="F21" i="2" s="1"/>
  <c r="F22" i="2" s="1"/>
  <c r="I10" i="2"/>
  <c r="I11" i="2" s="1"/>
  <c r="I12" i="2" s="1"/>
  <c r="I13" i="2" s="1"/>
  <c r="H11" i="2"/>
  <c r="H12" i="2" s="1"/>
  <c r="H13" i="2" s="1"/>
  <c r="G15" i="2"/>
  <c r="F16" i="2"/>
  <c r="F17" i="2" s="1"/>
  <c r="F18" i="2" s="1"/>
  <c r="F8" i="2"/>
  <c r="F9" i="2" s="1"/>
  <c r="G7" i="2"/>
  <c r="H19" i="2" l="1"/>
  <c r="G20" i="2"/>
  <c r="G21" i="2" s="1"/>
  <c r="G22" i="2" s="1"/>
  <c r="G8" i="2"/>
  <c r="G9" i="2" s="1"/>
  <c r="H7" i="2"/>
  <c r="H15" i="2"/>
  <c r="G16" i="2"/>
  <c r="G17" i="2" s="1"/>
  <c r="G18" i="2" s="1"/>
  <c r="I19" i="2" l="1"/>
  <c r="I20" i="2" s="1"/>
  <c r="I21" i="2" s="1"/>
  <c r="I22" i="2" s="1"/>
  <c r="H20" i="2"/>
  <c r="H21" i="2" s="1"/>
  <c r="H22" i="2" s="1"/>
  <c r="H8" i="2"/>
  <c r="H9" i="2" s="1"/>
  <c r="I7" i="2"/>
  <c r="I8" i="2" s="1"/>
  <c r="I9" i="2" s="1"/>
  <c r="I15" i="2"/>
  <c r="I16" i="2" s="1"/>
  <c r="I17" i="2" s="1"/>
  <c r="H16" i="2"/>
  <c r="H17" i="2" s="1"/>
</calcChain>
</file>

<file path=xl/sharedStrings.xml><?xml version="1.0" encoding="utf-8"?>
<sst xmlns="http://schemas.openxmlformats.org/spreadsheetml/2006/main" count="72" uniqueCount="47">
  <si>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</si>
  <si>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</si>
  <si>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</si>
  <si>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</si>
  <si>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calendar-1</t>
  </si>
  <si>
    <t>Table 1</t>
  </si>
  <si>
    <t>Semester 2</t>
  </si>
  <si>
    <t>S</t>
  </si>
  <si>
    <t>M</t>
  </si>
  <si>
    <t>T</t>
  </si>
  <si>
    <t>W</t>
  </si>
  <si>
    <t>F</t>
  </si>
  <si>
    <t>Modules</t>
  </si>
  <si>
    <t xml:space="preserve"> </t>
  </si>
  <si>
    <t>reading-week</t>
  </si>
  <si>
    <t>assessment</t>
  </si>
  <si>
    <t>Table 1-1</t>
  </si>
  <si>
    <t>assessment - Table 1-1</t>
  </si>
  <si>
    <t>week no.</t>
  </si>
  <si>
    <t>rd</t>
  </si>
  <si>
    <t>Assessments</t>
  </si>
  <si>
    <t>Assessment</t>
  </si>
  <si>
    <t>timetable</t>
  </si>
  <si>
    <t>MONDAY</t>
  </si>
  <si>
    <t>TUESDAY</t>
  </si>
  <si>
    <t>WEDNESDAY</t>
  </si>
  <si>
    <t>THURSDAY</t>
  </si>
  <si>
    <t>FRIDAY</t>
  </si>
  <si>
    <t>January</t>
  </si>
  <si>
    <t>February</t>
  </si>
  <si>
    <t>March</t>
  </si>
  <si>
    <t>April</t>
  </si>
  <si>
    <t>May</t>
  </si>
  <si>
    <t>EASTER</t>
  </si>
  <si>
    <t>4</t>
  </si>
  <si>
    <t>7</t>
  </si>
  <si>
    <t>E</t>
  </si>
  <si>
    <t>Full Stack and Dev Ops</t>
  </si>
  <si>
    <t>Full Stack</t>
  </si>
  <si>
    <t>Dev Ops</t>
  </si>
  <si>
    <r>
      <t xml:space="preserve">Dev Ops
</t>
    </r>
    <r>
      <rPr>
        <i/>
        <sz val="14"/>
        <color indexed="8"/>
        <rFont val="Helvetica"/>
      </rPr>
      <t xml:space="preserve">Webinar
</t>
    </r>
    <r>
      <rPr>
        <sz val="14"/>
        <color indexed="8"/>
        <rFont val="Helvetica"/>
      </rPr>
      <t xml:space="preserve">12:15-2:00 
</t>
    </r>
  </si>
  <si>
    <r>
      <t xml:space="preserve">Full Stack
</t>
    </r>
    <r>
      <rPr>
        <i/>
        <sz val="14"/>
        <color indexed="8"/>
        <rFont val="Helvetica"/>
      </rPr>
      <t xml:space="preserve">Webinar
</t>
    </r>
    <r>
      <rPr>
        <sz val="14"/>
        <color indexed="8"/>
        <rFont val="Helvetica"/>
      </rPr>
      <t xml:space="preserve">12:15-2:00 
</t>
    </r>
  </si>
  <si>
    <t>CA2 (40%)</t>
  </si>
  <si>
    <t>CA1 (40%)</t>
  </si>
  <si>
    <t>In-class Moodle Test (20%) - Thursday 7th May</t>
  </si>
  <si>
    <t>CA 1 (50%)</t>
  </si>
  <si>
    <t>CA 2 (50%)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</si>
</sst>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m"/>
  </numFmts>
  <fonts count="22">
    <font>
      <sz val="10"/>
      <color indexed="8"/>
      <name val="Helvetica Neue"/>
    </font>
    <font>
      <sz val="12"/>
      <color indexed="8"/>
      <name val="Helvetica Neue"/>
    </font>
    <font>
      <sz val="14"/>
      <color indexed="8"/>
      <name val="Helvetica Neue"/>
    </font>
    <font>
      <u/>
      <sz val="12"/>
      <color indexed="11"/>
      <name val="Helvetica Neue"/>
    </font>
    <font>
      <sz val="10"/>
      <color indexed="8"/>
      <name val="Helvetica Neue Medium"/>
    </font>
    <font>
      <sz val="10"/>
      <color indexed="12"/>
      <name val="Helvetica Neue Medium"/>
    </font>
    <font>
      <b/>
      <sz val="12"/>
      <color indexed="12"/>
      <name val="Helvetica Neue"/>
    </font>
    <font>
      <b/>
      <i/>
      <sz val="10"/>
      <color indexed="12"/>
      <name val="Helvetica Neue"/>
    </font>
    <font>
      <b/>
      <sz val="10"/>
      <color indexed="12"/>
      <name val="Helvetica Neue"/>
    </font>
    <font>
      <sz val="10"/>
      <color indexed="8"/>
      <name val="Helvetica"/>
    </font>
    <font>
      <sz val="11"/>
      <color indexed="8"/>
      <name val="Helvetica"/>
    </font>
    <font>
      <i/>
      <sz val="8"/>
      <color indexed="8"/>
      <name val="Helvetica"/>
    </font>
    <font>
      <sz val="10"/>
      <color indexed="18"/>
      <name val="Helvetica"/>
    </font>
    <font>
      <b/>
      <sz val="10"/>
      <color indexed="8"/>
      <name val="Helvetica"/>
    </font>
    <font>
      <b/>
      <sz val="10"/>
      <color indexed="8"/>
      <name val="Helvetica Neue"/>
    </font>
    <font>
      <b/>
      <sz val="10"/>
      <color indexed="18"/>
      <name val="Helvetica Neue"/>
    </font>
    <font>
      <sz val="13"/>
      <color indexed="8"/>
      <name val="Helvetica"/>
    </font>
    <font>
      <sz val="14"/>
      <color indexed="8"/>
      <name val="Helvetica"/>
    </font>
    <font>
      <i/>
      <sz val="14"/>
      <color indexed="8"/>
      <name val="Helvetica"/>
    </font>
    <font>
      <sz val="10"/>
      <color theme="1"/>
      <name val="Helvetica Neue Medium"/>
    </font>
    <font>
      <sz val="10"/>
      <color theme="0"/>
      <name val="Helvetica"/>
    </font>
    <font>
      <sz val="10"/>
      <color theme="0"/>
      <name val="Helvetica Neue Medium"/>
    </font>
  </fonts>
  <fills count="1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6"/>
        <bgColor auto="1"/>
      </patternFill>
    </fill>
    <fill>
      <patternFill patternType="solid">
        <fgColor indexed="19"/>
        <bgColor auto="1"/>
      </patternFill>
    </fill>
    <fill>
      <patternFill patternType="solid">
        <fgColor indexed="22"/>
        <bgColor auto="1"/>
      </patternFill>
    </fill>
    <fill>
      <patternFill patternType="solid">
        <fgColor indexed="8"/>
        <bgColor auto="1"/>
      </patternFill>
    </fill>
    <fill>
      <patternFill patternType="solid">
        <fgColor indexed="23"/>
        <bgColor auto="1"/>
      </patternFill>
    </fill>
    <fill>
      <patternFill patternType="solid">
        <fgColor theme="0"/>
        <bgColor indexed="64"/>
      </patternFill>
    </fill>
    <fill>
      <patternFill patternType="solid">
        <fgColor theme="1"/>
        <bgColor indexed="64"/>
      </patternFill>
    </fill>
    <fill>
      <patternFill patternType="solid">
        <fgColor theme="0" tint="-0.14999847407452621"/>
        <bgColor indexed="64"/>
      </patternFill>
    </fill>
    <fill>
      <patternFill patternType="solid">
        <fgColor theme="8" tint="-0.249977111117893"/>
        <bgColor indexed="64"/>
      </patternFill>
    </fill>
    <fill>
      <patternFill patternType="solid">
        <fgColor rgb="FFFFC000"/>
        <bgColor indexed="64"/>
      </patternFill>
    </fill>
    <fill>
      <patternFill patternType="solid">
        <fgColor rgb="FF002060"/>
        <bgColor indexed="64"/>
      </patternFill>
    </fill>
    <fill>
      <patternFill patternType="solid">
        <fgColor rgb="FF00B0F0"/>
        <bgColor indexed="64"/>
      </patternFill>
    </fill>
  </fills>
  <borders count="35">
    <border>
      <left/>
      <right/>
      <top/>
      <bottom/>
      <diagonal/>
    </border>
    <border>
      <left/>
      <right/>
      <top/>
      <bottom style="thin">
        <color indexed="13"/>
      </bottom>
      <diagonal/>
    </border>
    <border>
      <left/>
      <right style="thin">
        <color indexed="14"/>
      </right>
      <top/>
      <bottom style="thin">
        <color indexed="13"/>
      </bottom>
      <diagonal/>
    </border>
    <border>
      <left style="thin">
        <color indexed="14"/>
      </left>
      <right style="thin">
        <color indexed="13"/>
      </right>
      <top/>
      <bottom style="thin">
        <color indexed="13"/>
      </bottom>
      <diagonal/>
    </border>
    <border>
      <left style="thin">
        <color indexed="13"/>
      </left>
      <right style="thin">
        <color indexed="13"/>
      </right>
      <top/>
      <bottom style="thin">
        <color indexed="13"/>
      </bottom>
      <diagonal/>
    </border>
    <border>
      <left style="thin">
        <color indexed="13"/>
      </left>
      <right/>
      <top/>
      <bottom style="thin">
        <color indexed="13"/>
      </bottom>
      <diagonal/>
    </border>
    <border>
      <left/>
      <right/>
      <top style="thin">
        <color indexed="13"/>
      </top>
      <bottom style="medium">
        <color indexed="15"/>
      </bottom>
      <diagonal/>
    </border>
    <border>
      <left/>
      <right style="thin">
        <color indexed="14"/>
      </right>
      <top style="thin">
        <color indexed="13"/>
      </top>
      <bottom style="medium">
        <color indexed="15"/>
      </bottom>
      <diagonal/>
    </border>
    <border>
      <left style="thin">
        <color indexed="14"/>
      </left>
      <right style="thin">
        <color indexed="13"/>
      </right>
      <top style="thin">
        <color indexed="13"/>
      </top>
      <bottom style="thin">
        <color indexed="8"/>
      </bottom>
      <diagonal/>
    </border>
    <border>
      <left style="thin">
        <color indexed="13"/>
      </left>
      <right style="thin">
        <color indexed="13"/>
      </right>
      <top style="thin">
        <color indexed="13"/>
      </top>
      <bottom style="thin">
        <color indexed="8"/>
      </bottom>
      <diagonal/>
    </border>
    <border>
      <left style="thin">
        <color indexed="13"/>
      </left>
      <right/>
      <top style="thin">
        <color indexed="13"/>
      </top>
      <bottom style="thin">
        <color indexed="8"/>
      </bottom>
      <diagonal/>
    </border>
    <border>
      <left/>
      <right/>
      <top style="medium">
        <color indexed="15"/>
      </top>
      <bottom style="thin">
        <color indexed="13"/>
      </bottom>
      <diagonal/>
    </border>
    <border>
      <left/>
      <right style="thin">
        <color indexed="14"/>
      </right>
      <top style="medium">
        <color indexed="15"/>
      </top>
      <bottom style="thin">
        <color indexed="13"/>
      </bottom>
      <diagonal/>
    </border>
    <border>
      <left/>
      <right/>
      <top style="thin">
        <color indexed="13"/>
      </top>
      <bottom style="thin">
        <color indexed="13"/>
      </bottom>
      <diagonal/>
    </border>
    <border>
      <left/>
      <right/>
      <top style="thin">
        <color indexed="13"/>
      </top>
      <bottom/>
      <diagonal/>
    </border>
    <border>
      <left/>
      <right/>
      <top/>
      <bottom/>
      <diagonal/>
    </border>
    <border>
      <left/>
      <right/>
      <top/>
      <bottom style="thin">
        <color indexed="8"/>
      </bottom>
      <diagonal/>
    </border>
    <border>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top/>
      <bottom/>
      <diagonal/>
    </border>
    <border>
      <left/>
      <right/>
      <top style="thin">
        <color indexed="8"/>
      </top>
      <bottom/>
      <diagonal/>
    </border>
    <border>
      <left/>
      <right style="thin">
        <color indexed="24"/>
      </right>
      <top/>
      <bottom style="thin">
        <color indexed="25"/>
      </bottom>
      <diagonal/>
    </border>
    <border>
      <left style="thin">
        <color indexed="24"/>
      </left>
      <right style="thin">
        <color indexed="24"/>
      </right>
      <top/>
      <bottom style="thin">
        <color indexed="25"/>
      </bottom>
      <diagonal/>
    </border>
    <border>
      <left style="thin">
        <color indexed="24"/>
      </left>
      <right/>
      <top/>
      <bottom style="thin">
        <color indexed="25"/>
      </bottom>
      <diagonal/>
    </border>
    <border>
      <left/>
      <right/>
      <top style="thin">
        <color indexed="25"/>
      </top>
      <bottom/>
      <diagonal/>
    </border>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14"/>
      </left>
      <right style="thin">
        <color indexed="13"/>
      </right>
      <top style="thin">
        <color indexed="8"/>
      </top>
      <bottom/>
      <diagonal/>
    </border>
    <border>
      <left style="thin">
        <color indexed="13"/>
      </left>
      <right style="thin">
        <color indexed="13"/>
      </right>
      <top style="thin">
        <color indexed="8"/>
      </top>
      <bottom/>
      <diagonal/>
    </border>
    <border>
      <left style="thin">
        <color indexed="13"/>
      </left>
      <right/>
      <top style="thin">
        <color indexed="8"/>
      </top>
      <bottom/>
      <diagonal/>
    </border>
  </borders>
  <cellStyleXfs count="1">
    <xf numFmtId="0" fontId="0" fillId="0" borderId="0" applyNumberFormat="0" applyFill="0" applyBorder="0" applyProtection="0">
      <alignment vertical="top" wrapText="1"/>
    </xf>
  </cellStyleXfs>
  <cellXfs count="111">
    <xf numFmtId="0" fontId="0" fillId="0" borderId="0" xfId="0">
      <alignment vertical="top" wrapText="1"/>
    </xf>
    <xf numFmtId="0" fontId="2" fillId="0" borderId="0" xfId="0" applyFont="1" applyAlignment="1">
      <alignment horizontal="left" vertical="top" wrapText="1"/>
    </xf>
    <xf numFmtId="0" fontId="1" fillId="2" borderId="0" xfId="0" applyFont="1" applyFill="1" applyAlignment="1">
      <alignment horizontal="left" vertical="top" wrapText="1"/>
    </xf>
    <xf numFmtId="0" fontId="1" fillId="3" borderId="0" xfId="0" applyFont="1" applyFill="1" applyAlignment="1">
      <alignment horizontal="left" vertical="top" wrapText="1"/>
    </xf>
    <xf numFmtId="0" fontId="3" fillId="3" borderId="0" xfId="0" applyFont="1" applyFill="1" applyAlignment="1">
      <alignment horizontal="left" vertical="top" wrapText="1"/>
    </xf>
    <xf numFmtId="0" fontId="4" fillId="0" borderId="0" xfId="0" applyNumberFormat="1" applyFont="1">
      <alignment vertical="top" wrapText="1"/>
    </xf>
    <xf numFmtId="0" fontId="4" fillId="0" borderId="3" xfId="0" applyFont="1" applyBorder="1" applyAlignment="1">
      <alignment horizontal="right" vertical="top" wrapText="1"/>
    </xf>
    <xf numFmtId="0" fontId="4" fillId="0" borderId="4" xfId="0" applyFont="1" applyBorder="1" applyAlignment="1">
      <alignment horizontal="right" vertical="top" wrapText="1"/>
    </xf>
    <xf numFmtId="0" fontId="4" fillId="0" borderId="5" xfId="0" applyFont="1" applyBorder="1" applyAlignment="1">
      <alignment horizontal="center" vertical="top" wrapText="1"/>
    </xf>
    <xf numFmtId="49" fontId="4" fillId="4" borderId="8" xfId="0" applyNumberFormat="1" applyFont="1" applyFill="1" applyBorder="1" applyAlignment="1">
      <alignment horizontal="right" vertical="top" wrapText="1"/>
    </xf>
    <xf numFmtId="49" fontId="4" fillId="4" borderId="9" xfId="0" applyNumberFormat="1" applyFont="1" applyFill="1" applyBorder="1" applyAlignment="1">
      <alignment horizontal="right" vertical="top" wrapText="1"/>
    </xf>
    <xf numFmtId="49" fontId="4" fillId="4" borderId="10" xfId="0" applyNumberFormat="1" applyFont="1" applyFill="1" applyBorder="1" applyAlignment="1">
      <alignment horizontal="center" vertical="top" wrapText="1"/>
    </xf>
    <xf numFmtId="164" fontId="8" fillId="0" borderId="11" xfId="0" applyNumberFormat="1" applyFont="1" applyBorder="1" applyAlignment="1">
      <alignment horizontal="right" vertical="top" wrapText="1"/>
    </xf>
    <xf numFmtId="0" fontId="5" fillId="0" borderId="12" xfId="0" applyFont="1" applyBorder="1">
      <alignment vertical="top" wrapText="1"/>
    </xf>
    <xf numFmtId="0" fontId="8" fillId="0" borderId="13" xfId="0" applyFont="1" applyBorder="1" applyAlignment="1">
      <alignment horizontal="right" vertical="top" wrapText="1"/>
    </xf>
    <xf numFmtId="0" fontId="5" fillId="0" borderId="13" xfId="0" applyFont="1" applyBorder="1">
      <alignment vertical="top" wrapText="1"/>
    </xf>
    <xf numFmtId="164" fontId="8" fillId="0" borderId="13" xfId="0" applyNumberFormat="1" applyFont="1" applyBorder="1" applyAlignment="1">
      <alignment horizontal="right" vertical="top" wrapText="1"/>
    </xf>
    <xf numFmtId="0" fontId="8" fillId="0" borderId="13" xfId="0" applyFont="1" applyBorder="1">
      <alignment vertical="top" wrapText="1"/>
    </xf>
    <xf numFmtId="0" fontId="9" fillId="0" borderId="0" xfId="0" applyNumberFormat="1" applyFont="1" applyAlignment="1">
      <alignment vertical="center" wrapText="1"/>
    </xf>
    <xf numFmtId="0" fontId="9" fillId="0" borderId="15" xfId="0" applyFont="1" applyBorder="1" applyAlignment="1">
      <alignment vertical="center" wrapText="1"/>
    </xf>
    <xf numFmtId="0" fontId="9" fillId="0" borderId="15" xfId="0" applyFont="1" applyBorder="1" applyAlignment="1">
      <alignment horizontal="center" vertical="center" wrapText="1"/>
    </xf>
    <xf numFmtId="49" fontId="9" fillId="0" borderId="15" xfId="0" applyNumberFormat="1" applyFont="1" applyBorder="1" applyAlignment="1">
      <alignment horizontal="right" vertical="center" wrapText="1"/>
    </xf>
    <xf numFmtId="0" fontId="9" fillId="0" borderId="15" xfId="0" applyNumberFormat="1" applyFont="1" applyBorder="1" applyAlignment="1">
      <alignment horizontal="center" vertical="center" wrapText="1"/>
    </xf>
    <xf numFmtId="49" fontId="9" fillId="0" borderId="15" xfId="0" applyNumberFormat="1" applyFont="1" applyBorder="1" applyAlignment="1">
      <alignment horizontal="center" vertical="center" wrapText="1"/>
    </xf>
    <xf numFmtId="0" fontId="9" fillId="0" borderId="15" xfId="0" applyFont="1" applyBorder="1" applyAlignment="1">
      <alignment horizontal="right" vertical="center" wrapText="1"/>
    </xf>
    <xf numFmtId="0" fontId="9" fillId="0" borderId="16" xfId="0" applyFont="1" applyBorder="1" applyAlignment="1">
      <alignment vertical="center" wrapText="1"/>
    </xf>
    <xf numFmtId="0" fontId="10" fillId="0" borderId="16" xfId="0" applyFont="1" applyBorder="1" applyAlignment="1">
      <alignment vertical="center" wrapText="1"/>
    </xf>
    <xf numFmtId="0" fontId="9" fillId="0" borderId="17" xfId="0" applyFont="1" applyBorder="1" applyAlignment="1">
      <alignment vertical="center" wrapText="1"/>
    </xf>
    <xf numFmtId="0" fontId="9" fillId="0" borderId="19" xfId="0" applyFont="1" applyBorder="1" applyAlignment="1">
      <alignment vertical="center" wrapText="1"/>
    </xf>
    <xf numFmtId="0" fontId="9" fillId="6" borderId="18" xfId="0" applyFont="1" applyFill="1" applyBorder="1" applyAlignment="1">
      <alignment vertical="center" wrapText="1"/>
    </xf>
    <xf numFmtId="0" fontId="9" fillId="0" borderId="20" xfId="0" applyFont="1" applyBorder="1" applyAlignment="1">
      <alignment vertical="center" wrapText="1"/>
    </xf>
    <xf numFmtId="0" fontId="9" fillId="0" borderId="21" xfId="0" applyFont="1" applyBorder="1" applyAlignment="1">
      <alignment vertical="center" wrapText="1"/>
    </xf>
    <xf numFmtId="49" fontId="11" fillId="0" borderId="15" xfId="0" applyNumberFormat="1" applyFont="1" applyBorder="1" applyAlignment="1">
      <alignment horizontal="right" vertical="center" wrapText="1"/>
    </xf>
    <xf numFmtId="0" fontId="12" fillId="7" borderId="15" xfId="0" applyFont="1" applyFill="1" applyBorder="1" applyAlignment="1">
      <alignment vertical="center" wrapText="1"/>
    </xf>
    <xf numFmtId="0" fontId="11" fillId="0" borderId="15" xfId="0" applyFont="1" applyBorder="1" applyAlignment="1">
      <alignment horizontal="right" vertical="center" wrapText="1"/>
    </xf>
    <xf numFmtId="0" fontId="9" fillId="0" borderId="21" xfId="0" applyFont="1" applyBorder="1" applyAlignment="1">
      <alignment horizontal="right" vertical="center" wrapText="1"/>
    </xf>
    <xf numFmtId="0" fontId="9" fillId="0" borderId="0" xfId="0" applyNumberFormat="1" applyFont="1">
      <alignment vertical="top" wrapText="1"/>
    </xf>
    <xf numFmtId="0" fontId="13" fillId="0" borderId="22" xfId="0" applyFont="1" applyBorder="1">
      <alignment vertical="top" wrapText="1"/>
    </xf>
    <xf numFmtId="49" fontId="14" fillId="0" borderId="23" xfId="0" applyNumberFormat="1" applyFont="1" applyBorder="1" applyAlignment="1">
      <alignment horizontal="center" vertical="center" wrapText="1"/>
    </xf>
    <xf numFmtId="49" fontId="15" fillId="0" borderId="24" xfId="0" applyNumberFormat="1" applyFont="1" applyBorder="1" applyAlignment="1">
      <alignment horizontal="center" vertical="center" wrapText="1"/>
    </xf>
    <xf numFmtId="0" fontId="9" fillId="0" borderId="25" xfId="0" applyFont="1" applyBorder="1">
      <alignment vertical="top" wrapText="1"/>
    </xf>
    <xf numFmtId="20" fontId="16" fillId="0" borderId="26" xfId="0" applyNumberFormat="1" applyFont="1" applyBorder="1">
      <alignment vertical="top" wrapText="1"/>
    </xf>
    <xf numFmtId="0" fontId="9" fillId="0" borderId="26" xfId="0" applyFont="1" applyBorder="1">
      <alignment vertical="top" wrapText="1"/>
    </xf>
    <xf numFmtId="20" fontId="16" fillId="0" borderId="26" xfId="0" applyNumberFormat="1" applyFont="1" applyBorder="1" applyAlignment="1">
      <alignment horizontal="left" vertical="top" wrapText="1"/>
    </xf>
    <xf numFmtId="0" fontId="16" fillId="0" borderId="26" xfId="0" applyFont="1" applyBorder="1">
      <alignment vertical="top" wrapText="1"/>
    </xf>
    <xf numFmtId="0" fontId="16" fillId="0" borderId="26" xfId="0" applyFont="1" applyBorder="1" applyAlignment="1">
      <alignment horizontal="left" vertical="top" wrapText="1"/>
    </xf>
    <xf numFmtId="0" fontId="9" fillId="0" borderId="26" xfId="0" applyFont="1" applyBorder="1" applyAlignment="1">
      <alignment vertical="center" wrapText="1"/>
    </xf>
    <xf numFmtId="0" fontId="9" fillId="6" borderId="29" xfId="0" applyFont="1" applyFill="1" applyBorder="1" applyAlignment="1">
      <alignment vertical="center" wrapText="1"/>
    </xf>
    <xf numFmtId="0" fontId="9" fillId="0" borderId="30" xfId="0" applyFont="1" applyBorder="1" applyAlignment="1">
      <alignment vertical="center" wrapText="1"/>
    </xf>
    <xf numFmtId="0" fontId="9" fillId="0" borderId="26" xfId="0" applyFont="1" applyBorder="1" applyAlignment="1">
      <alignment horizontal="right" vertical="center" wrapText="1"/>
    </xf>
    <xf numFmtId="0" fontId="7" fillId="0" borderId="13" xfId="0" applyNumberFormat="1" applyFont="1" applyBorder="1" applyAlignment="1">
      <alignment horizontal="right" vertical="top" wrapText="1"/>
    </xf>
    <xf numFmtId="49" fontId="7" fillId="0" borderId="13" xfId="0" applyNumberFormat="1" applyFont="1" applyBorder="1" applyAlignment="1">
      <alignment horizontal="right" vertical="top" wrapText="1"/>
    </xf>
    <xf numFmtId="0" fontId="7" fillId="0" borderId="13" xfId="0" applyFont="1" applyBorder="1" applyAlignment="1">
      <alignment horizontal="center" vertical="top" wrapText="1"/>
    </xf>
    <xf numFmtId="0" fontId="7" fillId="0" borderId="14" xfId="0" applyFont="1" applyBorder="1" applyAlignment="1">
      <alignment horizontal="center" vertical="top" wrapText="1"/>
    </xf>
    <xf numFmtId="0" fontId="4" fillId="0" borderId="32" xfId="0" applyFont="1" applyBorder="1" applyAlignment="1">
      <alignment horizontal="right" vertical="top" wrapText="1"/>
    </xf>
    <xf numFmtId="0" fontId="4" fillId="0" borderId="33" xfId="0" applyFont="1" applyBorder="1" applyAlignment="1">
      <alignment horizontal="right" vertical="top" wrapText="1"/>
    </xf>
    <xf numFmtId="49" fontId="4" fillId="0" borderId="34" xfId="0" applyNumberFormat="1" applyFont="1" applyBorder="1" applyAlignment="1">
      <alignment horizontal="center" vertical="top" wrapText="1"/>
    </xf>
    <xf numFmtId="0" fontId="19" fillId="9" borderId="31" xfId="0" applyNumberFormat="1" applyFont="1" applyFill="1" applyBorder="1">
      <alignment vertical="top" wrapText="1"/>
    </xf>
    <xf numFmtId="49" fontId="19" fillId="4" borderId="31" xfId="0" applyNumberFormat="1" applyFont="1" applyFill="1" applyBorder="1" applyAlignment="1">
      <alignment horizontal="center" vertical="top" wrapText="1"/>
    </xf>
    <xf numFmtId="49" fontId="19" fillId="0" borderId="31" xfId="0" applyNumberFormat="1" applyFont="1" applyBorder="1" applyAlignment="1">
      <alignment horizontal="center" vertical="top" wrapText="1"/>
    </xf>
    <xf numFmtId="0" fontId="19" fillId="9" borderId="31" xfId="0" applyNumberFormat="1" applyFont="1" applyFill="1" applyBorder="1" applyAlignment="1">
      <alignment horizontal="right" vertical="top" wrapText="1"/>
    </xf>
    <xf numFmtId="0" fontId="9" fillId="0" borderId="26" xfId="0" applyNumberFormat="1" applyFont="1" applyBorder="1" applyAlignment="1">
      <alignment horizontal="center" vertical="center" wrapText="1"/>
    </xf>
    <xf numFmtId="0" fontId="9" fillId="9" borderId="26" xfId="0" applyNumberFormat="1" applyFont="1" applyFill="1" applyBorder="1" applyAlignment="1">
      <alignment horizontal="center" vertical="center" wrapText="1"/>
    </xf>
    <xf numFmtId="0" fontId="9" fillId="9" borderId="26" xfId="0" applyFont="1" applyFill="1" applyBorder="1" applyAlignment="1">
      <alignment vertical="center" wrapText="1"/>
    </xf>
    <xf numFmtId="0" fontId="9" fillId="9" borderId="27" xfId="0" applyFont="1" applyFill="1" applyBorder="1" applyAlignment="1">
      <alignment vertical="center" wrapText="1"/>
    </xf>
    <xf numFmtId="0" fontId="9" fillId="9" borderId="26" xfId="0" applyFont="1" applyFill="1" applyBorder="1" applyAlignment="1">
      <alignment horizontal="right" vertical="center" wrapText="1"/>
    </xf>
    <xf numFmtId="0" fontId="9" fillId="9" borderId="0" xfId="0" applyNumberFormat="1" applyFont="1" applyFill="1" applyAlignment="1">
      <alignment vertical="center" wrapText="1"/>
    </xf>
    <xf numFmtId="0" fontId="12" fillId="7" borderId="26" xfId="0" applyFont="1" applyFill="1" applyBorder="1" applyAlignment="1">
      <alignment vertical="center" wrapText="1"/>
    </xf>
    <xf numFmtId="0" fontId="9" fillId="9" borderId="29" xfId="0" applyFont="1" applyFill="1" applyBorder="1" applyAlignment="1">
      <alignment vertical="center" wrapText="1"/>
    </xf>
    <xf numFmtId="0" fontId="9" fillId="9" borderId="18" xfId="0" applyFont="1" applyFill="1" applyBorder="1" applyAlignment="1">
      <alignment vertical="center" wrapText="1"/>
    </xf>
    <xf numFmtId="0" fontId="9" fillId="9" borderId="28" xfId="0" applyFont="1" applyFill="1" applyBorder="1" applyAlignment="1">
      <alignment vertical="center" wrapText="1"/>
    </xf>
    <xf numFmtId="49" fontId="12" fillId="10" borderId="26" xfId="0" applyNumberFormat="1" applyFont="1" applyFill="1" applyBorder="1" applyAlignment="1">
      <alignment vertical="center" wrapText="1"/>
    </xf>
    <xf numFmtId="0" fontId="19" fillId="11" borderId="31" xfId="0" applyNumberFormat="1" applyFont="1" applyFill="1" applyBorder="1">
      <alignment vertical="top" wrapText="1"/>
    </xf>
    <xf numFmtId="0" fontId="19" fillId="11" borderId="31" xfId="0" applyNumberFormat="1" applyFont="1" applyFill="1" applyBorder="1" applyAlignment="1">
      <alignment horizontal="right" vertical="top" wrapText="1"/>
    </xf>
    <xf numFmtId="0" fontId="1" fillId="0" borderId="0" xfId="0" applyFont="1" applyAlignment="1">
      <alignment horizontal="left" vertical="top" wrapText="1"/>
    </xf>
    <xf numFmtId="0" fontId="0" fillId="0" borderId="0" xfId="0">
      <alignment vertical="top" wrapText="1"/>
    </xf>
    <xf numFmtId="49" fontId="6" fillId="0" borderId="6" xfId="0" applyNumberFormat="1" applyFont="1" applyBorder="1" applyAlignment="1">
      <alignment horizontal="center" vertical="top" wrapText="1"/>
    </xf>
    <xf numFmtId="0" fontId="7" fillId="0" borderId="7" xfId="0" applyFont="1" applyBorder="1" applyAlignment="1">
      <alignment horizontal="center" vertical="top" wrapText="1"/>
    </xf>
    <xf numFmtId="0" fontId="5" fillId="0" borderId="1" xfId="0" applyNumberFormat="1" applyFont="1" applyBorder="1" applyAlignment="1">
      <alignment horizontal="center" vertical="top" wrapText="1"/>
    </xf>
    <xf numFmtId="0" fontId="5" fillId="0" borderId="2" xfId="0" applyFont="1" applyBorder="1">
      <alignment vertical="top" wrapText="1"/>
    </xf>
    <xf numFmtId="164" fontId="9" fillId="0" borderId="15" xfId="0" applyNumberFormat="1" applyFont="1" applyBorder="1" applyAlignment="1">
      <alignment horizontal="center" vertical="center" wrapText="1"/>
    </xf>
    <xf numFmtId="0" fontId="9" fillId="0" borderId="15" xfId="0" applyFont="1" applyBorder="1" applyAlignment="1">
      <alignment vertical="center" wrapText="1"/>
    </xf>
    <xf numFmtId="0" fontId="9" fillId="0" borderId="15" xfId="0" applyFont="1" applyBorder="1" applyAlignment="1">
      <alignment horizontal="center" vertical="center" wrapText="1"/>
    </xf>
    <xf numFmtId="164" fontId="9" fillId="0" borderId="26" xfId="0" applyNumberFormat="1" applyFont="1" applyBorder="1" applyAlignment="1">
      <alignment horizontal="center" vertical="center" wrapText="1"/>
    </xf>
    <xf numFmtId="0" fontId="9" fillId="0" borderId="26" xfId="0" applyFont="1" applyBorder="1" applyAlignment="1">
      <alignment vertical="center" wrapText="1"/>
    </xf>
    <xf numFmtId="0" fontId="9" fillId="0" borderId="26" xfId="0" applyFont="1" applyBorder="1">
      <alignment vertical="top" wrapText="1"/>
    </xf>
    <xf numFmtId="49" fontId="17" fillId="5" borderId="26" xfId="0" applyNumberFormat="1" applyFont="1" applyFill="1" applyBorder="1" applyAlignment="1">
      <alignment horizontal="center" vertical="center" wrapText="1"/>
    </xf>
    <xf numFmtId="49" fontId="17" fillId="8" borderId="26" xfId="0" applyNumberFormat="1" applyFont="1" applyFill="1" applyBorder="1" applyAlignment="1">
      <alignment horizontal="center" vertical="center" wrapText="1"/>
    </xf>
    <xf numFmtId="0" fontId="12" fillId="9" borderId="15" xfId="0" applyFont="1" applyFill="1" applyBorder="1" applyAlignment="1">
      <alignment vertical="center" wrapText="1"/>
    </xf>
    <xf numFmtId="49" fontId="12" fillId="9" borderId="15" xfId="0" applyNumberFormat="1" applyFont="1" applyFill="1" applyBorder="1" applyAlignment="1">
      <alignment vertical="center" wrapText="1"/>
    </xf>
    <xf numFmtId="0" fontId="12" fillId="7" borderId="15" xfId="0" applyFont="1" applyFill="1" applyBorder="1" applyAlignment="1">
      <alignment horizontal="center" vertical="center" wrapText="1"/>
    </xf>
    <xf numFmtId="0" fontId="12" fillId="7" borderId="26" xfId="0" applyFont="1" applyFill="1" applyBorder="1" applyAlignment="1">
      <alignment horizontal="center" vertical="center" wrapText="1"/>
    </xf>
    <xf numFmtId="0" fontId="9" fillId="10" borderId="15" xfId="0" applyFont="1" applyFill="1" applyBorder="1" applyAlignment="1">
      <alignment vertical="center" wrapText="1"/>
    </xf>
    <xf numFmtId="0" fontId="9" fillId="0" borderId="26" xfId="0" applyFont="1" applyBorder="1" applyAlignment="1">
      <alignment horizontal="left" vertical="center" wrapText="1"/>
    </xf>
    <xf numFmtId="0" fontId="12" fillId="9" borderId="15" xfId="0" applyFont="1" applyFill="1" applyBorder="1" applyAlignment="1">
      <alignment horizontal="right" vertical="center" wrapText="1"/>
    </xf>
    <xf numFmtId="49" fontId="12" fillId="9" borderId="15" xfId="0" applyNumberFormat="1" applyFont="1" applyFill="1" applyBorder="1" applyAlignment="1">
      <alignment horizontal="right" vertical="center" wrapText="1"/>
    </xf>
    <xf numFmtId="0" fontId="9" fillId="12" borderId="0" xfId="0" applyNumberFormat="1" applyFont="1" applyFill="1" applyAlignment="1">
      <alignment vertical="center" wrapText="1"/>
    </xf>
    <xf numFmtId="0" fontId="20" fillId="12" borderId="0" xfId="0" applyNumberFormat="1" applyFont="1" applyFill="1" applyAlignment="1">
      <alignment horizontal="center" vertical="center" wrapText="1"/>
    </xf>
    <xf numFmtId="0" fontId="9" fillId="12" borderId="15" xfId="0" applyFont="1" applyFill="1" applyBorder="1" applyAlignment="1">
      <alignment vertical="center" wrapText="1"/>
    </xf>
    <xf numFmtId="0" fontId="12" fillId="12" borderId="15" xfId="0" applyFont="1" applyFill="1" applyBorder="1" applyAlignment="1">
      <alignment vertical="center" wrapText="1"/>
    </xf>
    <xf numFmtId="0" fontId="4" fillId="13" borderId="0" xfId="0" applyNumberFormat="1" applyFont="1" applyFill="1">
      <alignment vertical="top" wrapText="1"/>
    </xf>
    <xf numFmtId="0" fontId="19" fillId="13" borderId="31" xfId="0" applyNumberFormat="1" applyFont="1" applyFill="1" applyBorder="1" applyAlignment="1">
      <alignment horizontal="right" vertical="top" wrapText="1"/>
    </xf>
    <xf numFmtId="0" fontId="21" fillId="14" borderId="31" xfId="0" applyNumberFormat="1" applyFont="1" applyFill="1" applyBorder="1">
      <alignment vertical="top" wrapText="1"/>
    </xf>
    <xf numFmtId="0" fontId="21" fillId="14" borderId="31" xfId="0" applyNumberFormat="1" applyFont="1" applyFill="1" applyBorder="1" applyAlignment="1">
      <alignment horizontal="right" vertical="top" wrapText="1"/>
    </xf>
    <xf numFmtId="0" fontId="21" fillId="15" borderId="31" xfId="0" applyNumberFormat="1" applyFont="1" applyFill="1" applyBorder="1">
      <alignment vertical="top" wrapText="1"/>
    </xf>
    <xf numFmtId="0" fontId="20" fillId="14" borderId="18" xfId="0" applyFont="1" applyFill="1" applyBorder="1" applyAlignment="1">
      <alignment vertical="center" wrapText="1"/>
    </xf>
    <xf numFmtId="0" fontId="20" fillId="14" borderId="29" xfId="0" applyFont="1" applyFill="1" applyBorder="1" applyAlignment="1">
      <alignment vertical="center" wrapText="1"/>
    </xf>
    <xf numFmtId="0" fontId="20" fillId="14" borderId="28" xfId="0" applyFont="1" applyFill="1" applyBorder="1" applyAlignment="1">
      <alignment vertical="center" wrapText="1"/>
    </xf>
    <xf numFmtId="0" fontId="9" fillId="15" borderId="18" xfId="0" applyFont="1" applyFill="1" applyBorder="1" applyAlignment="1">
      <alignment vertical="center" wrapText="1"/>
    </xf>
    <xf numFmtId="0" fontId="9" fillId="15" borderId="28" xfId="0" applyFont="1" applyFill="1" applyBorder="1" applyAlignment="1">
      <alignment vertical="center" wrapText="1"/>
    </xf>
    <xf numFmtId="164" fontId="8" fillId="0" borderId="14" xfId="0" applyNumberFormat="1" applyFont="1" applyBorder="1" applyAlignment="1">
      <alignment horizontal="righ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5F5F5F"/>
      <rgbColor rgb="FFEFEFEF"/>
      <rgbColor rgb="FFADADAD"/>
      <rgbColor rgb="FFC0C0C0"/>
      <rgbColor rgb="FFF4F4F4"/>
      <rgbColor rgb="FFBFBFBF"/>
      <rgbColor rgb="FFFEFFFE"/>
      <rgbColor rgb="FFED220B"/>
      <rgbColor rgb="FF0075B9"/>
      <rgbColor rgb="FF919191"/>
      <rgbColor rgb="FFD5D5D5"/>
      <rgbColor rgb="FFFF9300"/>
      <rgbColor rgb="FFA5A5A5"/>
      <rgbColor rgb="FF3F3F3F"/>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152400</xdr:colOff>
      <xdr:row>1</xdr:row>
      <xdr:rowOff>83820</xdr:rowOff>
    </xdr:from>
    <xdr:to>
      <xdr:col>13</xdr:col>
      <xdr:colOff>663275</xdr:colOff>
      <xdr:row>13</xdr:row>
      <xdr:rowOff>15501</xdr:rowOff>
    </xdr:to>
    <xdr:pic>
      <xdr:nvPicPr>
        <xdr:cNvPr id="4" name="Picture 3">
          <a:extLst>
            <a:ext uri="{FF2B5EF4-FFF2-40B4-BE49-F238E27FC236}">
              <a16:creationId xmlns:a16="http://schemas.microsoft.com/office/drawing/2014/main" id="{394B91E1-5D9E-6507-1899-C118F4F17420}"/>
            </a:ext>
          </a:extLst>
        </xdr:cNvPr>
        <xdr:cNvPicPr>
          <a:picLocks noChangeAspect="1"/>
        </xdr:cNvPicPr>
      </xdr:nvPicPr>
      <xdr:blipFill>
        <a:blip xmlns:r="http://schemas.openxmlformats.org/officeDocument/2006/relationships" r:embed="rId1"/>
        <a:stretch>
          <a:fillRect/>
        </a:stretch>
      </xdr:blipFill>
      <xdr:spPr>
        <a:xfrm>
          <a:off x="7345680" y="335280"/>
          <a:ext cx="3871295" cy="3010161"/>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4"/>
  <sheetViews>
    <sheetView showGridLines="0" workbookViewId="0">
      <selection activeCell="D10" sqref="D10"/>
    </sheetView>
  </sheetViews>
  <sheetFormatPr defaultColWidth="10" defaultRowHeight="13.05" customHeight="1"/>
  <cols>
    <col min="1" max="1" width="2" customWidth="1"/>
    <col min="2" max="4" width="33.6640625" customWidth="1"/>
  </cols>
  <sheetData>
    <row r="3" spans="2:4" ht="0" hidden="1" customHeight="1">
      <c r="B3" s="74" t="s">
        <v>0</v>
      </c>
      <c r="C3" s="75"/>
      <c r="D3" s="75"/>
    </row>
    <row r="7" spans="2:4" ht="17.399999999999999">
      <c r="B7" s="1" t="s">
        <v>1</v>
      </c>
      <c r="C7" s="1" t="s">
        <v>2</v>
      </c>
      <c r="D7" s="1" t="s">
        <v>3</v>
      </c>
    </row>
    <row r="9" spans="2:4" ht="15">
      <c r="B9" s="2" t="s">
        <v>4</v>
      </c>
      <c r="C9" s="2"/>
      <c r="D9" s="2"/>
    </row>
    <row r="10" spans="2:4" ht="15">
      <c r="B10" s="3"/>
      <c r="C10" s="3" t="s">
        <v>5</v>
      </c>
      <c r="D10" s="4" t="s">
        <v>4</v>
      </c>
    </row>
    <row r="11" spans="2:4" ht="15">
      <c r="B11" s="2" t="s">
        <v>15</v>
      </c>
      <c r="C11" s="2"/>
      <c r="D11" s="2"/>
    </row>
    <row r="12" spans="2:4" ht="15">
      <c r="B12" s="3"/>
      <c r="C12" s="3" t="s">
        <v>16</v>
      </c>
      <c r="D12" s="4" t="s">
        <v>17</v>
      </c>
    </row>
    <row r="13" spans="2:4" ht="15">
      <c r="B13" s="2" t="s">
        <v>22</v>
      </c>
      <c r="C13" s="2"/>
      <c r="D13" s="2"/>
    </row>
    <row r="14" spans="2:4" ht="15">
      <c r="B14" s="3"/>
      <c r="C14" s="3" t="s">
        <v>5</v>
      </c>
      <c r="D14" s="4" t="s">
        <v>22</v>
      </c>
    </row>
  </sheetData>
  <mergeCells count="1">
    <mergeCell ref="B3:D3"/>
  </mergeCells>
  <hyperlinks>
    <hyperlink ref="D10" location="'calendar-1'!R1C1" display="calendar-1" xr:uid="{00000000-0004-0000-0000-000000000000}"/>
    <hyperlink ref="D12" location="'assessment - Table 1-1'!R1C1" display="assessment - Table 1-1" xr:uid="{00000000-0004-0000-0000-000001000000}"/>
    <hyperlink ref="D14" location="'timetable'!R1C1" display="timetable"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26"/>
  <sheetViews>
    <sheetView showGridLines="0" workbookViewId="0">
      <pane xSplit="2" topLeftCell="C1" activePane="topRight" state="frozen"/>
      <selection pane="topRight" activeCell="N28" sqref="N28"/>
    </sheetView>
  </sheetViews>
  <sheetFormatPr defaultColWidth="16.33203125" defaultRowHeight="20.25" customHeight="1"/>
  <cols>
    <col min="1" max="1" width="13.6640625" style="5" customWidth="1"/>
    <col min="2" max="2" width="14.44140625" style="5" customWidth="1"/>
    <col min="3" max="9" width="7.6640625" style="5" customWidth="1"/>
    <col min="10" max="10" width="23.109375" style="5" customWidth="1"/>
    <col min="11" max="11" width="16.33203125" style="5" customWidth="1"/>
    <col min="12" max="16384" width="16.33203125" style="5"/>
  </cols>
  <sheetData>
    <row r="1" spans="1:10" ht="19.8" customHeight="1">
      <c r="A1" s="78">
        <v>2025</v>
      </c>
      <c r="B1" s="79"/>
      <c r="C1" s="6"/>
      <c r="D1" s="7"/>
      <c r="E1" s="7"/>
      <c r="F1" s="7"/>
      <c r="G1" s="7"/>
      <c r="H1" s="7"/>
      <c r="I1" s="7"/>
      <c r="J1" s="8"/>
    </row>
    <row r="2" spans="1:10" ht="23.7" customHeight="1">
      <c r="A2" s="76" t="s">
        <v>6</v>
      </c>
      <c r="B2" s="77"/>
      <c r="C2" s="9" t="s">
        <v>7</v>
      </c>
      <c r="D2" s="10" t="s">
        <v>8</v>
      </c>
      <c r="E2" s="10" t="s">
        <v>9</v>
      </c>
      <c r="F2" s="10" t="s">
        <v>10</v>
      </c>
      <c r="G2" s="10" t="s">
        <v>9</v>
      </c>
      <c r="H2" s="10" t="s">
        <v>11</v>
      </c>
      <c r="I2" s="10" t="s">
        <v>7</v>
      </c>
      <c r="J2" s="11" t="s">
        <v>12</v>
      </c>
    </row>
    <row r="3" spans="1:10" ht="20.7" customHeight="1">
      <c r="A3" s="12" t="s">
        <v>28</v>
      </c>
      <c r="B3" s="13"/>
      <c r="C3" s="54"/>
      <c r="D3" s="55"/>
      <c r="E3" s="55"/>
      <c r="F3" s="55"/>
      <c r="G3" s="55"/>
      <c r="H3" s="55"/>
      <c r="I3" s="55"/>
      <c r="J3" s="56" t="s">
        <v>13</v>
      </c>
    </row>
    <row r="4" spans="1:10" ht="19.95" customHeight="1">
      <c r="A4" s="14"/>
      <c r="B4" s="50">
        <v>1</v>
      </c>
      <c r="C4" s="57">
        <v>18</v>
      </c>
      <c r="D4" s="102">
        <v>19</v>
      </c>
      <c r="E4" s="57">
        <f>D4+1</f>
        <v>20</v>
      </c>
      <c r="F4" s="102">
        <f>E4+1</f>
        <v>21</v>
      </c>
      <c r="G4" s="104">
        <f>F4+1</f>
        <v>22</v>
      </c>
      <c r="H4" s="57">
        <f t="shared" ref="H4:I4" si="0">G4+1</f>
        <v>23</v>
      </c>
      <c r="I4" s="57">
        <f t="shared" si="0"/>
        <v>24</v>
      </c>
      <c r="J4" s="58" t="s">
        <v>37</v>
      </c>
    </row>
    <row r="5" spans="1:10" ht="19.95" customHeight="1">
      <c r="A5" s="14"/>
      <c r="B5" s="50">
        <v>2</v>
      </c>
      <c r="C5" s="57">
        <f>C4+7</f>
        <v>25</v>
      </c>
      <c r="D5" s="102">
        <f t="shared" ref="D5:I5" si="1">D4+7</f>
        <v>26</v>
      </c>
      <c r="E5" s="57">
        <f t="shared" si="1"/>
        <v>27</v>
      </c>
      <c r="F5" s="102">
        <f t="shared" si="1"/>
        <v>28</v>
      </c>
      <c r="G5" s="104">
        <f t="shared" si="1"/>
        <v>29</v>
      </c>
      <c r="H5" s="57">
        <f t="shared" si="1"/>
        <v>30</v>
      </c>
      <c r="I5" s="57">
        <f t="shared" si="1"/>
        <v>31</v>
      </c>
      <c r="J5" s="58" t="s">
        <v>37</v>
      </c>
    </row>
    <row r="6" spans="1:10" ht="19.95" customHeight="1">
      <c r="A6" s="16" t="s">
        <v>29</v>
      </c>
      <c r="B6" s="50">
        <v>3</v>
      </c>
      <c r="C6" s="57">
        <v>1</v>
      </c>
      <c r="D6" s="102">
        <f>C6+1</f>
        <v>2</v>
      </c>
      <c r="E6" s="57">
        <f t="shared" ref="E6:I6" si="2">D6+1</f>
        <v>3</v>
      </c>
      <c r="F6" s="102">
        <f t="shared" si="2"/>
        <v>4</v>
      </c>
      <c r="G6" s="104">
        <f t="shared" si="2"/>
        <v>5</v>
      </c>
      <c r="H6" s="57">
        <f t="shared" si="2"/>
        <v>6</v>
      </c>
      <c r="I6" s="57">
        <f t="shared" si="2"/>
        <v>7</v>
      </c>
      <c r="J6" s="58" t="s">
        <v>37</v>
      </c>
    </row>
    <row r="7" spans="1:10" ht="19.95" customHeight="1">
      <c r="A7" s="15"/>
      <c r="B7" s="5">
        <v>4</v>
      </c>
      <c r="C7" s="57">
        <f>I6+1</f>
        <v>8</v>
      </c>
      <c r="D7" s="102">
        <f>C7+1</f>
        <v>9</v>
      </c>
      <c r="E7" s="57">
        <f t="shared" ref="E7:I7" si="3">D7+1</f>
        <v>10</v>
      </c>
      <c r="F7" s="102">
        <f t="shared" si="3"/>
        <v>11</v>
      </c>
      <c r="G7" s="104">
        <f t="shared" si="3"/>
        <v>12</v>
      </c>
      <c r="H7" s="57">
        <f t="shared" si="3"/>
        <v>13</v>
      </c>
      <c r="I7" s="57">
        <f t="shared" si="3"/>
        <v>14</v>
      </c>
      <c r="J7" s="58" t="s">
        <v>37</v>
      </c>
    </row>
    <row r="8" spans="1:10" ht="19.95" customHeight="1">
      <c r="B8" s="51" t="s">
        <v>14</v>
      </c>
      <c r="C8" s="72">
        <f>C7+7</f>
        <v>15</v>
      </c>
      <c r="D8" s="72">
        <f t="shared" ref="D8:I9" si="4">D7+7</f>
        <v>16</v>
      </c>
      <c r="E8" s="72">
        <f t="shared" si="4"/>
        <v>17</v>
      </c>
      <c r="F8" s="72">
        <f t="shared" si="4"/>
        <v>18</v>
      </c>
      <c r="G8" s="72">
        <f t="shared" si="4"/>
        <v>19</v>
      </c>
      <c r="H8" s="72">
        <f t="shared" si="4"/>
        <v>20</v>
      </c>
      <c r="I8" s="72">
        <f t="shared" si="4"/>
        <v>21</v>
      </c>
      <c r="J8" s="58"/>
    </row>
    <row r="9" spans="1:10" ht="19.95" customHeight="1">
      <c r="A9" s="14"/>
      <c r="B9" s="50">
        <v>5</v>
      </c>
      <c r="C9" s="57">
        <f>C8+7</f>
        <v>22</v>
      </c>
      <c r="D9" s="102">
        <f t="shared" si="4"/>
        <v>23</v>
      </c>
      <c r="E9" s="57">
        <f t="shared" si="4"/>
        <v>24</v>
      </c>
      <c r="F9" s="102">
        <f t="shared" si="4"/>
        <v>25</v>
      </c>
      <c r="G9" s="104">
        <f t="shared" si="4"/>
        <v>26</v>
      </c>
      <c r="H9" s="57">
        <f t="shared" si="4"/>
        <v>27</v>
      </c>
      <c r="I9" s="57">
        <f t="shared" si="4"/>
        <v>28</v>
      </c>
      <c r="J9" s="58" t="s">
        <v>37</v>
      </c>
    </row>
    <row r="10" spans="1:10" ht="19.95" customHeight="1">
      <c r="A10" s="16" t="s">
        <v>30</v>
      </c>
      <c r="B10" s="50">
        <v>6</v>
      </c>
      <c r="C10" s="57">
        <v>1</v>
      </c>
      <c r="D10" s="102">
        <f>C10+1</f>
        <v>2</v>
      </c>
      <c r="E10" s="57">
        <f t="shared" ref="E10:I10" si="5">D10+1</f>
        <v>3</v>
      </c>
      <c r="F10" s="102">
        <f t="shared" si="5"/>
        <v>4</v>
      </c>
      <c r="G10" s="104">
        <f t="shared" si="5"/>
        <v>5</v>
      </c>
      <c r="H10" s="57">
        <f t="shared" si="5"/>
        <v>6</v>
      </c>
      <c r="I10" s="57">
        <f t="shared" si="5"/>
        <v>7</v>
      </c>
      <c r="J10" s="58" t="s">
        <v>37</v>
      </c>
    </row>
    <row r="11" spans="1:10" ht="19.95" customHeight="1">
      <c r="A11" s="15"/>
      <c r="B11" s="51" t="s">
        <v>14</v>
      </c>
      <c r="C11" s="72">
        <f>C10+7</f>
        <v>8</v>
      </c>
      <c r="D11" s="72">
        <f t="shared" ref="D11:I14" si="6">D10+7</f>
        <v>9</v>
      </c>
      <c r="E11" s="72">
        <f t="shared" si="6"/>
        <v>10</v>
      </c>
      <c r="F11" s="72">
        <f t="shared" si="6"/>
        <v>11</v>
      </c>
      <c r="G11" s="72">
        <f t="shared" si="6"/>
        <v>12</v>
      </c>
      <c r="H11" s="72">
        <f t="shared" si="6"/>
        <v>13</v>
      </c>
      <c r="I11" s="72">
        <f t="shared" si="6"/>
        <v>14</v>
      </c>
      <c r="J11" s="58"/>
    </row>
    <row r="12" spans="1:10" ht="19.95" customHeight="1">
      <c r="B12" s="5">
        <v>7</v>
      </c>
      <c r="C12" s="57">
        <f>C11+7</f>
        <v>15</v>
      </c>
      <c r="D12" s="102">
        <f t="shared" si="6"/>
        <v>16</v>
      </c>
      <c r="E12" s="57">
        <f t="shared" si="6"/>
        <v>17</v>
      </c>
      <c r="F12" s="102">
        <f t="shared" si="6"/>
        <v>18</v>
      </c>
      <c r="G12" s="104">
        <f t="shared" si="6"/>
        <v>19</v>
      </c>
      <c r="H12" s="57">
        <f t="shared" si="6"/>
        <v>20</v>
      </c>
      <c r="I12" s="57">
        <f t="shared" si="6"/>
        <v>21</v>
      </c>
      <c r="J12" s="58" t="s">
        <v>37</v>
      </c>
    </row>
    <row r="13" spans="1:10" ht="19.95" customHeight="1">
      <c r="A13" s="14"/>
      <c r="B13" s="50">
        <v>8</v>
      </c>
      <c r="C13" s="57">
        <f>C12+7</f>
        <v>22</v>
      </c>
      <c r="D13" s="102">
        <f t="shared" si="6"/>
        <v>23</v>
      </c>
      <c r="E13" s="57">
        <f t="shared" si="6"/>
        <v>24</v>
      </c>
      <c r="F13" s="102">
        <f t="shared" si="6"/>
        <v>25</v>
      </c>
      <c r="G13" s="104">
        <f t="shared" si="6"/>
        <v>26</v>
      </c>
      <c r="H13" s="57">
        <f t="shared" si="6"/>
        <v>27</v>
      </c>
      <c r="I13" s="57">
        <f t="shared" si="6"/>
        <v>28</v>
      </c>
      <c r="J13" s="58" t="s">
        <v>37</v>
      </c>
    </row>
    <row r="14" spans="1:10" ht="19.95" customHeight="1">
      <c r="A14" s="16" t="s">
        <v>31</v>
      </c>
      <c r="B14" s="51" t="s">
        <v>33</v>
      </c>
      <c r="C14" s="72">
        <f>C13+7</f>
        <v>29</v>
      </c>
      <c r="D14" s="72">
        <f t="shared" si="6"/>
        <v>30</v>
      </c>
      <c r="E14" s="72">
        <f t="shared" si="6"/>
        <v>31</v>
      </c>
      <c r="F14" s="72">
        <v>1</v>
      </c>
      <c r="G14" s="72">
        <f>F14+1</f>
        <v>2</v>
      </c>
      <c r="H14" s="72">
        <f t="shared" ref="H14:I14" si="7">G14+1</f>
        <v>3</v>
      </c>
      <c r="I14" s="72">
        <f t="shared" si="7"/>
        <v>4</v>
      </c>
      <c r="J14" s="58"/>
    </row>
    <row r="15" spans="1:10" ht="19.95" customHeight="1">
      <c r="A15" s="15"/>
      <c r="B15" s="51" t="s">
        <v>33</v>
      </c>
      <c r="C15" s="72">
        <f>I14+1</f>
        <v>5</v>
      </c>
      <c r="D15" s="72">
        <f>C15+1</f>
        <v>6</v>
      </c>
      <c r="E15" s="72">
        <f t="shared" ref="E15:I15" si="8">D15+1</f>
        <v>7</v>
      </c>
      <c r="F15" s="72">
        <f t="shared" si="8"/>
        <v>8</v>
      </c>
      <c r="G15" s="72">
        <f t="shared" si="8"/>
        <v>9</v>
      </c>
      <c r="H15" s="72">
        <f t="shared" si="8"/>
        <v>10</v>
      </c>
      <c r="I15" s="72">
        <f t="shared" si="8"/>
        <v>11</v>
      </c>
      <c r="J15" s="58"/>
    </row>
    <row r="16" spans="1:10" ht="19.95" customHeight="1">
      <c r="A16" s="15"/>
      <c r="B16" s="50">
        <v>9</v>
      </c>
      <c r="C16" s="57">
        <f>C15+7</f>
        <v>12</v>
      </c>
      <c r="D16" s="102">
        <f t="shared" ref="D16:I18" si="9">D15+7</f>
        <v>13</v>
      </c>
      <c r="E16" s="57">
        <f t="shared" si="9"/>
        <v>14</v>
      </c>
      <c r="F16" s="102">
        <f t="shared" si="9"/>
        <v>15</v>
      </c>
      <c r="G16" s="104">
        <f t="shared" si="9"/>
        <v>16</v>
      </c>
      <c r="H16" s="57">
        <f t="shared" si="9"/>
        <v>17</v>
      </c>
      <c r="I16" s="57">
        <f t="shared" si="9"/>
        <v>18</v>
      </c>
      <c r="J16" s="58" t="s">
        <v>37</v>
      </c>
    </row>
    <row r="17" spans="1:10" ht="19.95" customHeight="1">
      <c r="B17" s="50">
        <v>10</v>
      </c>
      <c r="C17" s="57">
        <f>C16+7</f>
        <v>19</v>
      </c>
      <c r="D17" s="102">
        <f t="shared" si="9"/>
        <v>20</v>
      </c>
      <c r="E17" s="57">
        <f t="shared" si="9"/>
        <v>21</v>
      </c>
      <c r="F17" s="102">
        <f t="shared" si="9"/>
        <v>22</v>
      </c>
      <c r="G17" s="104">
        <f t="shared" si="9"/>
        <v>23</v>
      </c>
      <c r="H17" s="57">
        <f t="shared" si="9"/>
        <v>24</v>
      </c>
      <c r="I17" s="57">
        <f t="shared" si="9"/>
        <v>25</v>
      </c>
      <c r="J17" s="58" t="s">
        <v>37</v>
      </c>
    </row>
    <row r="18" spans="1:10" ht="19.95" customHeight="1">
      <c r="A18" s="17"/>
      <c r="B18" s="50">
        <v>11</v>
      </c>
      <c r="C18" s="57">
        <f>C17+7</f>
        <v>26</v>
      </c>
      <c r="D18" s="102">
        <f t="shared" si="9"/>
        <v>27</v>
      </c>
      <c r="E18" s="57">
        <f t="shared" si="9"/>
        <v>28</v>
      </c>
      <c r="F18" s="102">
        <f t="shared" si="9"/>
        <v>29</v>
      </c>
      <c r="G18" s="104">
        <f>G17+7</f>
        <v>30</v>
      </c>
      <c r="H18" s="57">
        <v>1</v>
      </c>
      <c r="I18" s="57">
        <v>2</v>
      </c>
      <c r="J18" s="58" t="s">
        <v>37</v>
      </c>
    </row>
    <row r="19" spans="1:10" ht="19.95" customHeight="1">
      <c r="A19" s="110" t="s">
        <v>32</v>
      </c>
      <c r="B19" s="50">
        <v>12</v>
      </c>
      <c r="C19" s="60">
        <f>I18+1</f>
        <v>3</v>
      </c>
      <c r="D19" s="103">
        <f>C19+1</f>
        <v>4</v>
      </c>
      <c r="E19" s="60">
        <f t="shared" ref="E19:I19" si="10">D19+1</f>
        <v>5</v>
      </c>
      <c r="F19" s="103">
        <f t="shared" si="10"/>
        <v>6</v>
      </c>
      <c r="G19" s="104">
        <f t="shared" si="10"/>
        <v>7</v>
      </c>
      <c r="H19" s="60">
        <f t="shared" si="10"/>
        <v>8</v>
      </c>
      <c r="I19" s="60">
        <f t="shared" si="10"/>
        <v>9</v>
      </c>
      <c r="J19" s="58" t="s">
        <v>37</v>
      </c>
    </row>
    <row r="20" spans="1:10" ht="19.95" customHeight="1">
      <c r="A20" s="15"/>
      <c r="B20" s="52" t="s">
        <v>14</v>
      </c>
      <c r="C20" s="73">
        <f>C19+7</f>
        <v>10</v>
      </c>
      <c r="D20" s="73">
        <f t="shared" ref="D20:I21" si="11">D19+7</f>
        <v>11</v>
      </c>
      <c r="E20" s="73">
        <f t="shared" si="11"/>
        <v>12</v>
      </c>
      <c r="F20" s="73">
        <f t="shared" si="11"/>
        <v>13</v>
      </c>
      <c r="G20" s="72">
        <f t="shared" si="11"/>
        <v>14</v>
      </c>
      <c r="H20" s="73">
        <f t="shared" si="11"/>
        <v>15</v>
      </c>
      <c r="I20" s="73">
        <f t="shared" si="11"/>
        <v>16</v>
      </c>
      <c r="J20" s="58"/>
    </row>
    <row r="21" spans="1:10" ht="19.8" customHeight="1">
      <c r="B21" s="53" t="s">
        <v>14</v>
      </c>
      <c r="C21" s="73">
        <f>C20+7</f>
        <v>17</v>
      </c>
      <c r="D21" s="73">
        <f t="shared" si="11"/>
        <v>18</v>
      </c>
      <c r="E21" s="73">
        <f t="shared" si="11"/>
        <v>19</v>
      </c>
      <c r="F21" s="101">
        <f t="shared" si="11"/>
        <v>20</v>
      </c>
      <c r="G21" s="72">
        <f t="shared" si="11"/>
        <v>21</v>
      </c>
      <c r="H21" s="73">
        <f t="shared" si="11"/>
        <v>22</v>
      </c>
      <c r="I21" s="73">
        <f t="shared" si="11"/>
        <v>23</v>
      </c>
      <c r="J21" s="59"/>
    </row>
    <row r="22" spans="1:10" ht="20.25" customHeight="1">
      <c r="C22" s="5">
        <f>C21+7</f>
        <v>24</v>
      </c>
      <c r="D22" s="5">
        <f t="shared" ref="D22:I22" si="12">D21+7</f>
        <v>25</v>
      </c>
      <c r="E22" s="5">
        <f t="shared" si="12"/>
        <v>26</v>
      </c>
      <c r="F22" s="100">
        <f t="shared" si="12"/>
        <v>27</v>
      </c>
      <c r="G22" s="5">
        <f t="shared" si="12"/>
        <v>28</v>
      </c>
      <c r="H22" s="5">
        <f t="shared" si="12"/>
        <v>29</v>
      </c>
      <c r="I22" s="5">
        <f t="shared" si="12"/>
        <v>30</v>
      </c>
    </row>
    <row r="23" spans="1:10" ht="20.25" customHeight="1">
      <c r="C23" s="5">
        <v>31</v>
      </c>
      <c r="D23" s="5">
        <v>1</v>
      </c>
      <c r="E23" s="5">
        <f>D23+1</f>
        <v>2</v>
      </c>
      <c r="F23" s="100">
        <f t="shared" ref="F23:I23" si="13">E23+1</f>
        <v>3</v>
      </c>
      <c r="G23" s="5">
        <f t="shared" si="13"/>
        <v>4</v>
      </c>
      <c r="H23" s="5">
        <f t="shared" si="13"/>
        <v>5</v>
      </c>
      <c r="I23" s="5">
        <f t="shared" si="13"/>
        <v>6</v>
      </c>
    </row>
    <row r="24" spans="1:10" ht="20.25" customHeight="1">
      <c r="C24" s="5">
        <f>I23+1</f>
        <v>7</v>
      </c>
      <c r="D24" s="5">
        <f>C24+1</f>
        <v>8</v>
      </c>
      <c r="E24" s="5">
        <f t="shared" ref="E24:I24" si="14">D24+1</f>
        <v>9</v>
      </c>
      <c r="F24" s="100">
        <f t="shared" si="14"/>
        <v>10</v>
      </c>
      <c r="G24" s="5">
        <f t="shared" si="14"/>
        <v>11</v>
      </c>
      <c r="H24" s="5">
        <f t="shared" si="14"/>
        <v>12</v>
      </c>
      <c r="I24" s="5">
        <f t="shared" si="14"/>
        <v>13</v>
      </c>
    </row>
    <row r="25" spans="1:10" ht="20.25" customHeight="1">
      <c r="C25" s="5">
        <f>C24+7</f>
        <v>14</v>
      </c>
      <c r="D25" s="100">
        <f t="shared" ref="D25:I26" si="15">D24+7</f>
        <v>15</v>
      </c>
      <c r="E25" s="5">
        <f t="shared" si="15"/>
        <v>16</v>
      </c>
      <c r="F25" s="100">
        <f t="shared" si="15"/>
        <v>17</v>
      </c>
      <c r="G25" s="5">
        <f t="shared" si="15"/>
        <v>18</v>
      </c>
      <c r="H25" s="5">
        <f t="shared" si="15"/>
        <v>19</v>
      </c>
      <c r="I25" s="5">
        <f t="shared" si="15"/>
        <v>20</v>
      </c>
    </row>
    <row r="26" spans="1:10" ht="20.25" customHeight="1">
      <c r="C26" s="5">
        <f>C25+7</f>
        <v>21</v>
      </c>
      <c r="D26" s="5">
        <f t="shared" si="15"/>
        <v>22</v>
      </c>
      <c r="E26" s="5">
        <f t="shared" si="15"/>
        <v>23</v>
      </c>
      <c r="F26" s="5">
        <f t="shared" si="15"/>
        <v>24</v>
      </c>
      <c r="G26" s="5">
        <f t="shared" si="15"/>
        <v>25</v>
      </c>
      <c r="H26" s="5">
        <f t="shared" si="15"/>
        <v>26</v>
      </c>
      <c r="I26" s="5">
        <f t="shared" si="15"/>
        <v>27</v>
      </c>
    </row>
  </sheetData>
  <mergeCells count="2">
    <mergeCell ref="A2:B2"/>
    <mergeCell ref="A1:B1"/>
  </mergeCells>
  <pageMargins left="0.5" right="0.5" top="0.75" bottom="0.75" header="0.27777800000000002" footer="0.27777800000000002"/>
  <pageSetup orientation="landscape"/>
  <headerFooter>
    <oddFooter>&amp;C&amp;"Helvetica Neue,Regular"&amp;12&amp;K000000&amp;P</oddFooter>
  </headerFooter>
  <ignoredErrors>
    <ignoredError sqref="E5" formula="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13"/>
  <sheetViews>
    <sheetView showGridLines="0" workbookViewId="0">
      <selection activeCell="H11" sqref="H11:K11"/>
    </sheetView>
  </sheetViews>
  <sheetFormatPr defaultColWidth="16.33203125" defaultRowHeight="18" customHeight="1"/>
  <cols>
    <col min="1" max="1" width="18.21875" style="18" customWidth="1"/>
    <col min="2" max="6" width="4.109375" style="18" customWidth="1"/>
    <col min="7" max="7" width="1.6640625" style="18" customWidth="1"/>
    <col min="8" max="8" width="4.109375" style="18" customWidth="1"/>
    <col min="9" max="9" width="1" style="18" customWidth="1"/>
    <col min="10" max="11" width="4.109375" style="18" customWidth="1"/>
    <col min="12" max="12" width="1" style="66" customWidth="1"/>
    <col min="13" max="13" width="4" style="18" customWidth="1"/>
    <col min="14" max="14" width="1.44140625" style="18" customWidth="1"/>
    <col min="15" max="15" width="3.44140625" style="18" customWidth="1"/>
    <col min="16" max="16" width="4.109375" style="18" customWidth="1"/>
    <col min="17" max="17" width="1.33203125" style="18" customWidth="1"/>
    <col min="18" max="18" width="4.109375" style="18" customWidth="1"/>
    <col min="19" max="19" width="3.33203125" style="18" customWidth="1"/>
    <col min="20" max="20" width="1.77734375" style="18" customWidth="1"/>
    <col min="21" max="21" width="4.44140625" style="18" customWidth="1"/>
    <col min="22" max="24" width="4.109375" style="18" customWidth="1"/>
    <col min="25" max="25" width="1.6640625" style="18" customWidth="1"/>
    <col min="26" max="28" width="4.109375" style="18" customWidth="1"/>
    <col min="29" max="29" width="4.21875" style="18" customWidth="1"/>
    <col min="30" max="30" width="3.6640625" style="18" customWidth="1"/>
    <col min="31" max="31" width="18.109375" style="18" customWidth="1"/>
    <col min="32" max="16384" width="16.33203125" style="18"/>
  </cols>
  <sheetData>
    <row r="1" spans="1:33" ht="19.95" customHeight="1">
      <c r="A1" s="19"/>
      <c r="B1" s="20"/>
      <c r="C1" s="80">
        <v>46023</v>
      </c>
      <c r="D1" s="81"/>
      <c r="E1" s="81"/>
      <c r="F1" s="81"/>
      <c r="G1" s="81"/>
      <c r="H1" s="81"/>
      <c r="I1" s="46"/>
      <c r="J1" s="20"/>
      <c r="K1" s="80">
        <v>46082</v>
      </c>
      <c r="L1" s="83"/>
      <c r="M1" s="81"/>
      <c r="N1" s="81"/>
      <c r="O1" s="81"/>
      <c r="P1" s="80">
        <v>46113</v>
      </c>
      <c r="Q1" s="83"/>
      <c r="R1" s="81"/>
      <c r="S1" s="81"/>
      <c r="T1" s="81"/>
      <c r="U1" s="81"/>
      <c r="V1" s="81"/>
      <c r="W1" s="84"/>
      <c r="X1" s="81"/>
      <c r="Y1" s="81"/>
      <c r="Z1" s="81"/>
      <c r="AA1" s="81"/>
      <c r="AB1" s="80">
        <v>46143</v>
      </c>
      <c r="AC1" s="81"/>
      <c r="AD1" s="81"/>
    </row>
    <row r="2" spans="1:33" ht="19.95" customHeight="1">
      <c r="A2" s="21" t="s">
        <v>18</v>
      </c>
      <c r="B2" s="19"/>
      <c r="C2" s="22">
        <v>1</v>
      </c>
      <c r="D2" s="22">
        <v>2</v>
      </c>
      <c r="E2" s="22">
        <v>3</v>
      </c>
      <c r="F2" s="23" t="s">
        <v>34</v>
      </c>
      <c r="G2" s="19"/>
      <c r="H2" s="22" t="s">
        <v>19</v>
      </c>
      <c r="I2" s="61"/>
      <c r="J2" s="22">
        <v>5</v>
      </c>
      <c r="K2" s="22">
        <v>6</v>
      </c>
      <c r="L2" s="62"/>
      <c r="M2" s="22" t="s">
        <v>19</v>
      </c>
      <c r="O2" s="23" t="s">
        <v>35</v>
      </c>
      <c r="P2" s="22">
        <v>8</v>
      </c>
      <c r="Q2" s="61"/>
      <c r="R2" s="22" t="s">
        <v>36</v>
      </c>
      <c r="S2" s="23" t="s">
        <v>36</v>
      </c>
      <c r="U2" s="22">
        <v>9</v>
      </c>
      <c r="V2" s="22">
        <v>10</v>
      </c>
      <c r="W2" s="61">
        <v>11</v>
      </c>
      <c r="X2" s="22">
        <v>12</v>
      </c>
      <c r="Y2" s="19"/>
      <c r="Z2" s="22" t="s">
        <v>19</v>
      </c>
      <c r="AA2" s="22" t="s">
        <v>19</v>
      </c>
      <c r="AB2" s="82"/>
      <c r="AC2" s="81"/>
      <c r="AD2" s="19"/>
    </row>
    <row r="3" spans="1:33" ht="10.050000000000001" customHeight="1">
      <c r="A3" s="24"/>
      <c r="B3" s="19"/>
      <c r="C3" s="25"/>
      <c r="D3" s="25"/>
      <c r="E3" s="25"/>
      <c r="F3" s="25"/>
      <c r="G3" s="19"/>
      <c r="H3" s="25"/>
      <c r="I3" s="25"/>
      <c r="J3" s="25"/>
      <c r="K3" s="25"/>
      <c r="L3" s="63"/>
      <c r="M3" s="19"/>
      <c r="N3" s="46"/>
      <c r="O3" s="19"/>
      <c r="P3" s="25"/>
      <c r="Q3" s="25"/>
      <c r="R3" s="25"/>
      <c r="S3" s="25"/>
      <c r="T3" s="19"/>
      <c r="U3" s="25"/>
      <c r="V3" s="25"/>
      <c r="W3" s="25"/>
      <c r="X3" s="25"/>
      <c r="Y3" s="19"/>
      <c r="Z3" s="25"/>
      <c r="AA3" s="25"/>
      <c r="AB3" s="26"/>
      <c r="AC3" s="25"/>
      <c r="AD3" s="19"/>
    </row>
    <row r="4" spans="1:33" ht="34.950000000000003" customHeight="1">
      <c r="A4" s="21" t="s">
        <v>38</v>
      </c>
      <c r="B4" s="27"/>
      <c r="C4" s="105"/>
      <c r="D4" s="105"/>
      <c r="E4" s="105"/>
      <c r="F4" s="105"/>
      <c r="G4" s="28"/>
      <c r="H4" s="47"/>
      <c r="I4" s="68"/>
      <c r="J4" s="105"/>
      <c r="K4" s="105"/>
      <c r="L4" s="64"/>
      <c r="M4" s="47"/>
      <c r="N4" s="48"/>
      <c r="O4" s="106"/>
      <c r="P4" s="107"/>
      <c r="Q4" s="70"/>
      <c r="R4" s="29"/>
      <c r="S4" s="29"/>
      <c r="T4" s="28"/>
      <c r="U4" s="105"/>
      <c r="V4" s="105"/>
      <c r="W4" s="105"/>
      <c r="X4" s="105"/>
      <c r="Y4" s="28"/>
      <c r="Z4" s="29"/>
      <c r="AA4" s="29"/>
      <c r="AB4" s="29"/>
      <c r="AC4" s="29"/>
      <c r="AD4" s="30"/>
    </row>
    <row r="5" spans="1:33" ht="10.050000000000001" customHeight="1">
      <c r="A5" s="19"/>
      <c r="B5" s="19"/>
      <c r="C5" s="31"/>
      <c r="D5" s="31"/>
      <c r="E5" s="31"/>
      <c r="F5" s="31"/>
      <c r="G5" s="19"/>
      <c r="H5" s="31"/>
      <c r="I5" s="31"/>
      <c r="J5" s="31"/>
      <c r="K5" s="31"/>
      <c r="L5" s="63"/>
      <c r="M5" s="19"/>
      <c r="N5" s="46"/>
      <c r="O5" s="19"/>
      <c r="P5" s="31"/>
      <c r="Q5" s="31"/>
      <c r="R5" s="31"/>
      <c r="S5" s="31"/>
      <c r="T5" s="19"/>
      <c r="U5" s="31"/>
      <c r="V5" s="31"/>
      <c r="W5" s="31"/>
      <c r="X5" s="31"/>
      <c r="Y5" s="19"/>
      <c r="Z5" s="31"/>
      <c r="AA5" s="31"/>
      <c r="AB5" s="31"/>
      <c r="AC5" s="31"/>
      <c r="AD5" s="19"/>
    </row>
    <row r="6" spans="1:33" ht="19.95" customHeight="1">
      <c r="A6" s="32" t="s">
        <v>20</v>
      </c>
      <c r="B6" s="19"/>
      <c r="C6" s="19"/>
      <c r="D6" s="19"/>
      <c r="E6" s="98"/>
      <c r="F6" s="96"/>
      <c r="G6" s="96"/>
      <c r="H6" s="97" t="s">
        <v>45</v>
      </c>
      <c r="I6" s="97"/>
      <c r="J6" s="97"/>
      <c r="K6" s="97"/>
      <c r="L6" s="96"/>
      <c r="M6" s="96"/>
      <c r="N6" s="88"/>
      <c r="O6" s="24"/>
      <c r="P6" s="96"/>
      <c r="Q6" s="96"/>
      <c r="R6" s="97" t="s">
        <v>46</v>
      </c>
      <c r="S6" s="97"/>
      <c r="T6" s="97"/>
      <c r="U6" s="97"/>
      <c r="V6" s="97"/>
      <c r="W6" s="97"/>
      <c r="X6" s="99"/>
      <c r="Y6" s="99"/>
      <c r="Z6" s="99"/>
      <c r="AA6" s="89"/>
      <c r="AB6" s="24"/>
      <c r="AC6" s="19"/>
      <c r="AD6" s="19"/>
    </row>
    <row r="7" spans="1:33" ht="19.95" customHeight="1">
      <c r="A7" s="34"/>
      <c r="B7" s="19"/>
      <c r="C7" s="19"/>
      <c r="D7" s="19"/>
      <c r="E7" s="19"/>
      <c r="F7" s="19"/>
      <c r="G7" s="19"/>
      <c r="H7" s="19"/>
      <c r="I7" s="46"/>
      <c r="J7" s="19"/>
      <c r="K7" s="19"/>
      <c r="L7" s="63"/>
      <c r="M7" s="19"/>
      <c r="N7" s="19"/>
      <c r="O7" s="19"/>
      <c r="P7" s="19"/>
      <c r="Q7" s="46"/>
      <c r="R7" s="19"/>
      <c r="S7" s="19"/>
      <c r="T7" s="19"/>
      <c r="U7" s="19"/>
      <c r="V7" s="19"/>
      <c r="W7" s="46"/>
      <c r="AF7" s="20"/>
      <c r="AG7" s="20"/>
    </row>
    <row r="8" spans="1:33" ht="10.050000000000001" customHeight="1">
      <c r="A8" s="19"/>
      <c r="B8" s="19"/>
      <c r="C8" s="25"/>
      <c r="D8" s="25"/>
      <c r="E8" s="25"/>
      <c r="F8" s="25"/>
      <c r="G8" s="19"/>
      <c r="H8" s="25"/>
      <c r="I8" s="25"/>
      <c r="J8" s="25"/>
      <c r="K8" s="25"/>
      <c r="L8" s="63"/>
      <c r="M8" s="19"/>
      <c r="N8" s="46"/>
      <c r="O8" s="19"/>
      <c r="P8" s="25"/>
      <c r="Q8" s="25"/>
      <c r="R8" s="25"/>
      <c r="S8" s="25"/>
      <c r="T8" s="19"/>
      <c r="U8" s="25"/>
      <c r="V8" s="25"/>
      <c r="W8" s="25"/>
      <c r="X8" s="25"/>
      <c r="Y8" s="19"/>
      <c r="Z8" s="25"/>
      <c r="AA8" s="25"/>
      <c r="AB8" s="25"/>
      <c r="AC8" s="25"/>
      <c r="AD8" s="19"/>
    </row>
    <row r="9" spans="1:33" ht="34.950000000000003" customHeight="1">
      <c r="A9" s="21" t="s">
        <v>39</v>
      </c>
      <c r="B9" s="27"/>
      <c r="C9" s="108"/>
      <c r="D9" s="108"/>
      <c r="E9" s="108"/>
      <c r="F9" s="108"/>
      <c r="G9" s="28"/>
      <c r="H9" s="47"/>
      <c r="I9" s="69"/>
      <c r="J9" s="108"/>
      <c r="K9" s="108"/>
      <c r="L9" s="64"/>
      <c r="M9" s="47"/>
      <c r="N9" s="48"/>
      <c r="O9" s="109"/>
      <c r="P9" s="109"/>
      <c r="Q9" s="70"/>
      <c r="R9" s="29"/>
      <c r="S9" s="29"/>
      <c r="T9" s="28"/>
      <c r="U9" s="108"/>
      <c r="V9" s="108"/>
      <c r="W9" s="108"/>
      <c r="X9" s="108"/>
      <c r="Y9" s="28"/>
      <c r="Z9" s="29"/>
      <c r="AA9" s="29"/>
      <c r="AB9" s="29"/>
      <c r="AC9" s="29"/>
      <c r="AD9" s="30"/>
    </row>
    <row r="10" spans="1:33" ht="10.050000000000001" customHeight="1">
      <c r="A10" s="24"/>
      <c r="B10" s="24"/>
      <c r="C10" s="35"/>
      <c r="D10" s="35"/>
      <c r="E10" s="35"/>
      <c r="F10" s="35"/>
      <c r="G10" s="19"/>
      <c r="H10" s="35"/>
      <c r="I10" s="35"/>
      <c r="J10" s="35"/>
      <c r="K10" s="35"/>
      <c r="L10" s="65"/>
      <c r="M10" s="19"/>
      <c r="N10" s="49"/>
      <c r="O10" s="19"/>
      <c r="P10" s="35"/>
      <c r="Q10" s="35"/>
      <c r="R10" s="35"/>
      <c r="S10" s="35"/>
      <c r="T10" s="24"/>
      <c r="U10" s="35"/>
      <c r="V10" s="35"/>
      <c r="W10" s="35"/>
      <c r="X10" s="35"/>
      <c r="Y10" s="19"/>
      <c r="Z10" s="35"/>
      <c r="AA10" s="35"/>
      <c r="AB10" s="35"/>
      <c r="AC10" s="35"/>
      <c r="AD10" s="24"/>
    </row>
    <row r="11" spans="1:33" ht="19.95" customHeight="1">
      <c r="A11" s="32" t="s">
        <v>21</v>
      </c>
      <c r="B11" s="24"/>
      <c r="C11" s="24"/>
      <c r="D11" s="24"/>
      <c r="E11" s="24"/>
      <c r="F11" s="33"/>
      <c r="G11" s="33"/>
      <c r="H11" s="91" t="s">
        <v>43</v>
      </c>
      <c r="I11" s="91"/>
      <c r="J11" s="91"/>
      <c r="K11" s="91"/>
      <c r="L11" s="71"/>
      <c r="M11" s="33"/>
      <c r="N11" s="24"/>
      <c r="O11" s="24"/>
      <c r="P11" s="33"/>
      <c r="Q11" s="67"/>
      <c r="R11" s="33"/>
      <c r="S11" s="90" t="s">
        <v>42</v>
      </c>
      <c r="T11" s="90"/>
      <c r="U11" s="90"/>
      <c r="V11" s="90"/>
      <c r="W11" s="67"/>
      <c r="X11" s="94"/>
      <c r="Y11" s="94"/>
      <c r="Z11" s="95"/>
      <c r="AA11" s="19"/>
      <c r="AB11" s="24"/>
      <c r="AC11" s="24"/>
      <c r="AD11" s="24"/>
    </row>
    <row r="12" spans="1:33" ht="10.050000000000001" customHeight="1">
      <c r="A12" s="24"/>
      <c r="B12" s="24"/>
      <c r="C12" s="24"/>
      <c r="D12" s="24"/>
      <c r="E12" s="24"/>
      <c r="F12" s="24"/>
      <c r="G12" s="19"/>
      <c r="H12" s="24"/>
      <c r="I12" s="49"/>
      <c r="J12" s="24"/>
      <c r="K12" s="24"/>
      <c r="L12" s="65"/>
      <c r="M12" s="19"/>
      <c r="N12" s="24"/>
      <c r="O12" s="19"/>
      <c r="P12" s="24"/>
      <c r="Q12" s="49"/>
      <c r="R12" s="24"/>
      <c r="S12" s="24"/>
      <c r="T12" s="24"/>
      <c r="U12" s="24"/>
      <c r="V12" s="24"/>
      <c r="W12" s="49"/>
      <c r="X12" s="24"/>
      <c r="Y12" s="19"/>
      <c r="Z12" s="24"/>
      <c r="AA12" s="24"/>
      <c r="AB12" s="24"/>
      <c r="AC12" s="24"/>
      <c r="AD12" s="24"/>
    </row>
    <row r="13" spans="1:33" ht="18" customHeight="1">
      <c r="X13" s="92"/>
      <c r="Y13" s="93" t="s">
        <v>44</v>
      </c>
      <c r="Z13" s="93"/>
      <c r="AA13" s="93"/>
      <c r="AB13" s="93"/>
      <c r="AC13" s="93"/>
      <c r="AD13" s="93"/>
      <c r="AE13" s="93"/>
    </row>
  </sheetData>
  <mergeCells count="11">
    <mergeCell ref="H6:K6"/>
    <mergeCell ref="R6:W6"/>
    <mergeCell ref="S11:V11"/>
    <mergeCell ref="H11:K11"/>
    <mergeCell ref="Y13:AE13"/>
    <mergeCell ref="AB1:AD1"/>
    <mergeCell ref="AB2:AC2"/>
    <mergeCell ref="C1:E1"/>
    <mergeCell ref="F1:H1"/>
    <mergeCell ref="K1:O1"/>
    <mergeCell ref="P1:AA1"/>
  </mergeCells>
  <pageMargins left="1" right="1" top="1" bottom="1" header="0.25" footer="0.25"/>
  <pageSetup orientation="landscape"/>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7"/>
  <sheetViews>
    <sheetView showGridLines="0" tabSelected="1" workbookViewId="0">
      <pane ySplit="1" topLeftCell="A2" activePane="bottomLeft" state="frozen"/>
      <selection pane="bottomLeft" activeCell="C25" sqref="C25"/>
    </sheetView>
  </sheetViews>
  <sheetFormatPr defaultColWidth="16.33203125" defaultRowHeight="18" customHeight="1"/>
  <cols>
    <col min="1" max="1" width="8.77734375" style="36" customWidth="1"/>
    <col min="2" max="6" width="28.21875" style="36" customWidth="1"/>
    <col min="7" max="7" width="10" style="36" customWidth="1"/>
    <col min="8" max="8" width="16.33203125" style="36" customWidth="1"/>
    <col min="9" max="16384" width="16.33203125" style="36"/>
  </cols>
  <sheetData>
    <row r="1" spans="1:7" ht="20.399999999999999" customHeight="1">
      <c r="A1" s="37"/>
      <c r="B1" s="38" t="s">
        <v>23</v>
      </c>
      <c r="C1" s="38" t="s">
        <v>24</v>
      </c>
      <c r="D1" s="38" t="s">
        <v>25</v>
      </c>
      <c r="E1" s="38" t="s">
        <v>26</v>
      </c>
      <c r="F1" s="38" t="s">
        <v>27</v>
      </c>
      <c r="G1" s="39"/>
    </row>
    <row r="2" spans="1:7" ht="20.399999999999999" customHeight="1">
      <c r="A2" s="40"/>
      <c r="B2" s="40"/>
      <c r="C2" s="40"/>
      <c r="D2" s="40"/>
      <c r="E2" s="40"/>
      <c r="F2" s="40"/>
      <c r="G2" s="40"/>
    </row>
    <row r="3" spans="1:7" ht="24" customHeight="1">
      <c r="A3" s="41">
        <v>43106.447916666664</v>
      </c>
      <c r="B3" s="42"/>
      <c r="C3" s="42"/>
      <c r="D3" s="42"/>
      <c r="E3" s="85"/>
      <c r="F3" s="85"/>
      <c r="G3" s="43">
        <v>43106.447916666664</v>
      </c>
    </row>
    <row r="4" spans="1:7" ht="24" customHeight="1">
      <c r="A4" s="44"/>
      <c r="B4" s="42"/>
      <c r="C4" s="42"/>
      <c r="D4" s="42"/>
      <c r="E4" s="85"/>
      <c r="F4" s="85"/>
      <c r="G4" s="45"/>
    </row>
    <row r="5" spans="1:7" ht="24" customHeight="1">
      <c r="A5" s="44"/>
      <c r="B5" s="42"/>
      <c r="C5" s="42"/>
      <c r="D5" s="42"/>
      <c r="E5" s="85"/>
      <c r="F5" s="85"/>
      <c r="G5" s="45"/>
    </row>
    <row r="6" spans="1:7" ht="24" customHeight="1">
      <c r="A6" s="44"/>
      <c r="B6" s="42"/>
      <c r="C6" s="42"/>
      <c r="D6" s="42"/>
      <c r="E6" s="85"/>
      <c r="F6" s="85"/>
      <c r="G6" s="45"/>
    </row>
    <row r="7" spans="1:7" ht="24" customHeight="1">
      <c r="A7" s="44"/>
      <c r="B7" s="42"/>
      <c r="C7" s="42"/>
      <c r="D7" s="42"/>
      <c r="E7" s="85"/>
      <c r="F7" s="85"/>
      <c r="G7" s="45"/>
    </row>
    <row r="8" spans="1:7" ht="24" customHeight="1">
      <c r="A8" s="44"/>
      <c r="B8" s="42"/>
      <c r="C8" s="42"/>
      <c r="D8" s="42"/>
      <c r="E8" s="85"/>
      <c r="F8" s="85"/>
      <c r="G8" s="45"/>
    </row>
    <row r="9" spans="1:7" ht="24" customHeight="1">
      <c r="A9" s="41">
        <v>43106.510416666664</v>
      </c>
      <c r="B9" s="86" t="s">
        <v>41</v>
      </c>
      <c r="C9" s="85"/>
      <c r="D9" s="86" t="s">
        <v>41</v>
      </c>
      <c r="E9" s="87" t="s">
        <v>40</v>
      </c>
      <c r="F9" s="85"/>
      <c r="G9" s="43">
        <v>43106.510416666664</v>
      </c>
    </row>
    <row r="10" spans="1:7" ht="24" customHeight="1">
      <c r="A10" s="44"/>
      <c r="B10" s="85"/>
      <c r="C10" s="85"/>
      <c r="D10" s="85"/>
      <c r="E10" s="85"/>
      <c r="F10" s="85"/>
      <c r="G10" s="45"/>
    </row>
    <row r="11" spans="1:7" ht="24" customHeight="1">
      <c r="A11" s="44"/>
      <c r="B11" s="85"/>
      <c r="C11" s="85"/>
      <c r="D11" s="85"/>
      <c r="E11" s="85"/>
      <c r="F11" s="85"/>
      <c r="G11" s="45"/>
    </row>
    <row r="12" spans="1:7" ht="24" customHeight="1">
      <c r="A12" s="44"/>
      <c r="B12" s="85"/>
      <c r="C12" s="85"/>
      <c r="D12" s="85"/>
      <c r="E12" s="85"/>
      <c r="F12" s="85"/>
      <c r="G12" s="45"/>
    </row>
    <row r="13" spans="1:7" ht="24" customHeight="1">
      <c r="A13" s="44"/>
      <c r="B13" s="85"/>
      <c r="C13" s="85"/>
      <c r="D13" s="85"/>
      <c r="E13" s="85"/>
      <c r="F13" s="85"/>
      <c r="G13" s="45"/>
    </row>
    <row r="14" spans="1:7" ht="24" customHeight="1">
      <c r="A14" s="44"/>
      <c r="B14" s="85"/>
      <c r="C14" s="85"/>
      <c r="D14" s="85"/>
      <c r="E14" s="85"/>
      <c r="F14" s="85"/>
      <c r="G14" s="45"/>
    </row>
    <row r="15" spans="1:7" ht="24" customHeight="1">
      <c r="A15" s="41">
        <v>43111.083333333336</v>
      </c>
      <c r="B15" s="85"/>
      <c r="C15" s="85"/>
      <c r="D15" s="85"/>
      <c r="E15" s="85"/>
      <c r="F15" s="85"/>
      <c r="G15" s="43">
        <v>43106.572916666664</v>
      </c>
    </row>
    <row r="16" spans="1:7" ht="24" customHeight="1">
      <c r="A16" s="44"/>
      <c r="B16" s="42"/>
      <c r="C16" s="85"/>
      <c r="D16" s="42"/>
      <c r="E16" s="42"/>
      <c r="F16" s="85"/>
      <c r="G16" s="45"/>
    </row>
    <row r="17" spans="1:7" ht="24" customHeight="1">
      <c r="A17" s="44"/>
      <c r="B17" s="42"/>
      <c r="C17" s="85"/>
      <c r="D17" s="42"/>
      <c r="E17" s="42"/>
      <c r="F17" s="85"/>
      <c r="G17" s="45"/>
    </row>
  </sheetData>
  <mergeCells count="9">
    <mergeCell ref="F3:F8"/>
    <mergeCell ref="F9:F14"/>
    <mergeCell ref="F15:F17"/>
    <mergeCell ref="C9:C14"/>
    <mergeCell ref="B9:B15"/>
    <mergeCell ref="C15:C17"/>
    <mergeCell ref="D9:D15"/>
    <mergeCell ref="E9:E15"/>
    <mergeCell ref="E3:E8"/>
  </mergeCells>
  <pageMargins left="1" right="1" top="1" bottom="1" header="0.25" footer="0.25"/>
  <pageSetup orientation="landscape"/>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Export Summary</vt:lpstr>
      <vt:lpstr>calendar-1</vt:lpstr>
      <vt:lpstr>assessment - Table 1-1</vt:lpstr>
      <vt:lpstr>timetable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Siobhan Roche</dc:creator>
  <cp:lastModifiedBy>Siobhan Roche</cp:lastModifiedBy>
  <dcterms:created xsi:type="dcterms:W3CDTF">2026-01-12T14:39:32Z</dcterms:created>
  <dcterms:modified xsi:type="dcterms:W3CDTF">2026-01-14T12:56:25Z</dcterms:modified>
</cp:coreProperties>
</file>